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03c53dc4461a3d/"/>
    </mc:Choice>
  </mc:AlternateContent>
  <xr:revisionPtr revIDLastSave="3" documentId="8_{0F656545-5E81-441D-887F-806613DB3789}" xr6:coauthVersionLast="47" xr6:coauthVersionMax="47" xr10:uidLastSave="{CC50B751-3877-468E-85E6-1874F749E2D8}"/>
  <bookViews>
    <workbookView xWindow="-108" yWindow="-108" windowWidth="23256" windowHeight="12456" xr2:uid="{C26FE7E8-8E1B-4AF8-9B6C-8FF2A0BFC8C1}"/>
  </bookViews>
  <sheets>
    <sheet name="Problem 1" sheetId="2" r:id="rId1"/>
    <sheet name="Problem 2" sheetId="4" r:id="rId2"/>
    <sheet name="Problem 3" sheetId="5" r:id="rId3"/>
    <sheet name="Problem 4 - a." sheetId="6" r:id="rId4"/>
    <sheet name="Problem 4 - b." sheetId="7" r:id="rId5"/>
    <sheet name="Problem 5." sheetId="8" r:id="rId6"/>
    <sheet name="Problem 6" sheetId="9" r:id="rId7"/>
    <sheet name="Raw Data" sheetId="1" r:id="rId8"/>
  </sheets>
  <definedNames>
    <definedName name="_xlnm._FilterDatabase" localSheetId="0" hidden="1">'Problem 1'!$G$1:$G$27</definedName>
    <definedName name="_xlnm._FilterDatabase" localSheetId="2" hidden="1">'Problem 3'!$H$2:$H$27</definedName>
    <definedName name="_xlnm._FilterDatabase" localSheetId="5" hidden="1">'Problem 5.'!$B$2:$C$27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9" l="1"/>
  <c r="K5" i="9" s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G3" i="8"/>
  <c r="J4" i="6"/>
  <c r="J3" i="6"/>
  <c r="H12" i="5"/>
  <c r="H19" i="5"/>
  <c r="H7" i="5"/>
  <c r="H25" i="5"/>
  <c r="H14" i="5"/>
  <c r="H11" i="5"/>
  <c r="H21" i="5"/>
  <c r="H4" i="5"/>
  <c r="H13" i="5"/>
  <c r="H18" i="5"/>
  <c r="H6" i="5"/>
  <c r="H23" i="5"/>
  <c r="H16" i="5"/>
  <c r="H10" i="5"/>
  <c r="H26" i="5"/>
  <c r="H20" i="5"/>
  <c r="H5" i="5"/>
  <c r="H15" i="5"/>
  <c r="H17" i="5"/>
  <c r="H27" i="5"/>
  <c r="H22" i="5"/>
  <c r="H9" i="5"/>
  <c r="H24" i="5"/>
  <c r="H8" i="5"/>
  <c r="H3" i="5"/>
</calcChain>
</file>

<file path=xl/sharedStrings.xml><?xml version="1.0" encoding="utf-8"?>
<sst xmlns="http://schemas.openxmlformats.org/spreadsheetml/2006/main" count="310" uniqueCount="57">
  <si>
    <t>Employee_ID</t>
  </si>
  <si>
    <t>Name</t>
  </si>
  <si>
    <t>Department</t>
  </si>
  <si>
    <t>Hours_Worked</t>
  </si>
  <si>
    <t>Tasks_Completed</t>
  </si>
  <si>
    <t>Productivity_Score</t>
  </si>
  <si>
    <t>Performance_Rating</t>
  </si>
  <si>
    <t>Aakash</t>
  </si>
  <si>
    <t>Sales</t>
  </si>
  <si>
    <t>Meera</t>
  </si>
  <si>
    <t>Marketing</t>
  </si>
  <si>
    <t>Suresh</t>
  </si>
  <si>
    <t>HR</t>
  </si>
  <si>
    <t>Riya</t>
  </si>
  <si>
    <t>IT</t>
  </si>
  <si>
    <t>Prakash</t>
  </si>
  <si>
    <t>Finance</t>
  </si>
  <si>
    <t>Neha</t>
  </si>
  <si>
    <t>Rahul</t>
  </si>
  <si>
    <t>Priya</t>
  </si>
  <si>
    <t>Kunal</t>
  </si>
  <si>
    <t>Sneha</t>
  </si>
  <si>
    <t>Amit</t>
  </si>
  <si>
    <t>Pooja</t>
  </si>
  <si>
    <t>Varun</t>
  </si>
  <si>
    <t>Deepak</t>
  </si>
  <si>
    <t>Rakesh</t>
  </si>
  <si>
    <t>Kavita</t>
  </si>
  <si>
    <t>Sanjay</t>
  </si>
  <si>
    <t>Arjun</t>
  </si>
  <si>
    <t>Anjali</t>
  </si>
  <si>
    <t>Suman</t>
  </si>
  <si>
    <t>Mohan</t>
  </si>
  <si>
    <t>Jyoti</t>
  </si>
  <si>
    <t>Neeraj</t>
  </si>
  <si>
    <t>Akash</t>
  </si>
  <si>
    <t>Tanya</t>
  </si>
  <si>
    <t>Row Labels</t>
  </si>
  <si>
    <t>Grand Total</t>
  </si>
  <si>
    <t>StdDevp of Productivity_Score</t>
  </si>
  <si>
    <t>es</t>
  </si>
  <si>
    <t>Marketing department has the least variation in the employee productivity as it has smallest deviation value.</t>
  </si>
  <si>
    <t>Problem 1.</t>
  </si>
  <si>
    <t>Problem 2.</t>
  </si>
  <si>
    <t>PEI</t>
  </si>
  <si>
    <t>Problem 3.</t>
  </si>
  <si>
    <t>Problem 4- a.</t>
  </si>
  <si>
    <t>Correlation for Tasks_Completed</t>
  </si>
  <si>
    <t>Correlation for hours_worked</t>
  </si>
  <si>
    <t># Hence, Tasks_Completed has stronger influence in Performance_Rating</t>
  </si>
  <si>
    <t>Problem- 4 b.</t>
  </si>
  <si>
    <t>The plot shows a Positive correlation as it trends upwards from left to right .</t>
  </si>
  <si>
    <t>Problem 5.</t>
  </si>
  <si>
    <t>Average Hours_Worked</t>
  </si>
  <si>
    <r>
      <rPr>
        <b/>
        <sz val="13"/>
        <color theme="1"/>
        <rFont val="Calibri"/>
        <family val="2"/>
        <scheme val="minor"/>
      </rPr>
      <t>Problem 6</t>
    </r>
    <r>
      <rPr>
        <sz val="13"/>
        <color theme="1"/>
        <rFont val="Calibri"/>
        <family val="2"/>
        <scheme val="minor"/>
      </rPr>
      <t>.</t>
    </r>
  </si>
  <si>
    <t>Tasks_Per_Hour</t>
  </si>
  <si>
    <t xml:space="preserve">Most efficient employee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</si>
</sst>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FFFF"/>
      <name val="Calibri"/>
      <family val="2"/>
    </font>
    <font>
      <sz val="13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 wrapText="1"/>
    </xf>
    <xf numFmtId="165" fontId="3" fillId="3" borderId="8" xfId="0" applyNumberFormat="1" applyFont="1" applyFill="1" applyBorder="1" applyAlignment="1">
      <alignment horizontal="center" vertical="center" wrapText="1"/>
    </xf>
    <xf numFmtId="165" fontId="3" fillId="3" borderId="9" xfId="0" applyNumberFormat="1" applyFont="1" applyFill="1" applyBorder="1" applyAlignment="1">
      <alignment horizontal="center" vertical="center" wrapText="1"/>
    </xf>
    <xf numFmtId="0" fontId="4" fillId="5" borderId="6" xfId="0" applyFont="1" applyFill="1" applyBorder="1"/>
    <xf numFmtId="164" fontId="1" fillId="6" borderId="6" xfId="0" applyNumberFormat="1" applyFont="1" applyFill="1" applyBorder="1"/>
    <xf numFmtId="0" fontId="1" fillId="7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7" fillId="0" borderId="0" xfId="0" pivotButton="1" applyFont="1"/>
    <xf numFmtId="0" fontId="7" fillId="0" borderId="0" xfId="0" applyFont="1" applyAlignment="1">
      <alignment horizontal="left"/>
    </xf>
    <xf numFmtId="0" fontId="6" fillId="4" borderId="0" xfId="0" applyFont="1" applyFill="1"/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5" fontId="9" fillId="0" borderId="7" xfId="0" applyNumberFormat="1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65" fontId="9" fillId="3" borderId="8" xfId="0" applyNumberFormat="1" applyFont="1" applyFill="1" applyBorder="1" applyAlignment="1">
      <alignment horizontal="center" vertical="center" wrapText="1"/>
    </xf>
    <xf numFmtId="165" fontId="9" fillId="0" borderId="8" xfId="0" applyNumberFormat="1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2" fillId="2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wrapText="1"/>
    </xf>
    <xf numFmtId="0" fontId="3" fillId="3" borderId="15" xfId="0" applyFont="1" applyFill="1" applyBorder="1" applyAlignment="1">
      <alignment horizontal="center" vertical="center" wrapText="1"/>
    </xf>
    <xf numFmtId="0" fontId="4" fillId="9" borderId="0" xfId="0" applyFont="1" applyFill="1"/>
    <xf numFmtId="0" fontId="7" fillId="8" borderId="6" xfId="0" applyFont="1" applyFill="1" applyBorder="1"/>
    <xf numFmtId="0" fontId="7" fillId="9" borderId="16" xfId="0" applyFont="1" applyFill="1" applyBorder="1"/>
    <xf numFmtId="0" fontId="8" fillId="2" borderId="10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9" fillId="3" borderId="14" xfId="0" applyFont="1" applyFill="1" applyBorder="1" applyAlignment="1">
      <alignment horizontal="center" wrapText="1"/>
    </xf>
    <xf numFmtId="0" fontId="9" fillId="3" borderId="15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165" fontId="9" fillId="3" borderId="3" xfId="0" applyNumberFormat="1" applyFont="1" applyFill="1" applyBorder="1" applyAlignment="1">
      <alignment horizontal="center" vertical="center" wrapText="1"/>
    </xf>
    <xf numFmtId="165" fontId="9" fillId="0" borderId="3" xfId="0" applyNumberFormat="1" applyFont="1" applyBorder="1" applyAlignment="1">
      <alignment horizontal="center" vertical="center" wrapText="1"/>
    </xf>
    <xf numFmtId="165" fontId="9" fillId="3" borderId="15" xfId="0" applyNumberFormat="1" applyFont="1" applyFill="1" applyBorder="1" applyAlignment="1">
      <alignment horizontal="center" vertical="center" wrapText="1"/>
    </xf>
    <xf numFmtId="0" fontId="6" fillId="10" borderId="17" xfId="0" applyFont="1" applyFill="1" applyBorder="1"/>
    <xf numFmtId="0" fontId="6" fillId="11" borderId="6" xfId="0" applyFont="1" applyFill="1" applyBorder="1"/>
    <xf numFmtId="0" fontId="6" fillId="10" borderId="18" xfId="0" applyFont="1" applyFill="1" applyBorder="1"/>
    <xf numFmtId="165" fontId="7" fillId="11" borderId="6" xfId="0" applyNumberFormat="1" applyFont="1" applyFill="1" applyBorder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C0504D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numFmt numFmtId="165" formatCode="0.000"/>
      <fill>
        <patternFill patternType="solid">
          <fgColor indexed="64"/>
          <bgColor rgb="FFF2DCD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solid">
          <fgColor indexed="64"/>
          <bgColor rgb="FFF2DCDB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FFFFFF"/>
        <name val="Calibri"/>
        <family val="2"/>
        <scheme val="none"/>
      </font>
      <fill>
        <patternFill patternType="solid">
          <fgColor indexed="64"/>
          <bgColor rgb="FFC0504D"/>
        </patternFill>
      </fill>
      <alignment horizontal="center" vertical="center" textRotation="0" wrapText="1" indent="0" justifyLastLine="0" shrinkToFit="0" readingOrder="0"/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</dxfs>
  <tableStyles count="0" defaultTableStyle="TableStyleMedium2" defaultPivotStyle="PivotStyleLight16"/>
  <colors>
    <mruColors>
      <color rgb="FFFF66FF"/>
      <color rgb="FFFF99FF"/>
      <color rgb="FFFF00FF"/>
      <color rgb="FFFFCCCC"/>
      <color rgb="FFEC74CF"/>
      <color rgb="FFF05E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High scoring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rgbClr val="F05ED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 1'!$C$2:$C$6</c:f>
              <c:strCache>
                <c:ptCount val="5"/>
                <c:pt idx="0">
                  <c:v>Rahul</c:v>
                </c:pt>
                <c:pt idx="1">
                  <c:v>Tanya</c:v>
                </c:pt>
                <c:pt idx="2">
                  <c:v>Rakesh</c:v>
                </c:pt>
                <c:pt idx="3">
                  <c:v>Neeraj</c:v>
                </c:pt>
                <c:pt idx="4">
                  <c:v>Riya</c:v>
                </c:pt>
              </c:strCache>
            </c:strRef>
          </c:cat>
          <c:val>
            <c:numRef>
              <c:f>'Problem 1'!$G$2:$G$6</c:f>
              <c:numCache>
                <c:formatCode>General</c:formatCode>
                <c:ptCount val="5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96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A-41B5-A4AF-E7130FAF1D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84120447"/>
        <c:axId val="1584118527"/>
        <c:axId val="0"/>
      </c:bar3DChart>
      <c:catAx>
        <c:axId val="1584120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118527"/>
        <c:crosses val="autoZero"/>
        <c:auto val="1"/>
        <c:lblAlgn val="ctr"/>
        <c:lblOffset val="100"/>
        <c:noMultiLvlLbl val="0"/>
      </c:catAx>
      <c:valAx>
        <c:axId val="158411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12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satMod val="103000"/>
            <a:lumMod val="102000"/>
            <a:tint val="94000"/>
          </a:schemeClr>
        </a:gs>
        <a:gs pos="50000">
          <a:schemeClr val="dk1">
            <a:satMod val="110000"/>
            <a:lumMod val="100000"/>
            <a:shade val="100000"/>
          </a:schemeClr>
        </a:gs>
        <a:gs pos="100000">
          <a:schemeClr val="dk1">
            <a:lumMod val="99000"/>
            <a:satMod val="120000"/>
            <a:shade val="78000"/>
          </a:schemeClr>
        </a:gs>
      </a:gsLst>
      <a:lin ang="5400000" scaled="0"/>
      <a:tileRect/>
    </a:gradFill>
    <a:ln>
      <a:noFill/>
    </a:ln>
    <a:effectLst>
      <a:outerShdw blurRad="57150" dist="19050" dir="5400000" algn="ctr" rotWithShape="0">
        <a:srgbClr val="000000">
          <a:alpha val="63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  <a:reflection stA="37000" endPos="72000" dist="5080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  <a:reflection stA="37000" endPos="72000" dist="50800" dir="5400000" sy="-100000" algn="bl" rotWithShape="0"/>
                </a:effectLst>
              </a:rPr>
              <a:t>Performance rating influence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reflection stA="37000" endPos="72000" dist="50800" dir="5400000" sy="-100000" algn="bl" rotWithShape="0"/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EC74CF">
                <a:alpha val="88000"/>
              </a:srgb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effectLst>
                      <a:outerShdw blurRad="50800" dist="50800" dir="5400000" sx="1000" sy="1000" algn="ctr" rotWithShape="0">
                        <a:srgbClr val="000000">
                          <a:alpha val="43137"/>
                        </a:srgbClr>
                      </a:outerShdw>
                      <a:reflection stA="45000" endPos="59000" dist="50800" dir="5400000" sy="-100000" algn="bl" rotWithShape="0"/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4 - a.'!$I$3:$I$4</c:f>
              <c:strCache>
                <c:ptCount val="2"/>
                <c:pt idx="0">
                  <c:v>Correlation for hours_worked</c:v>
                </c:pt>
                <c:pt idx="1">
                  <c:v>Correlation for Tasks_Completed</c:v>
                </c:pt>
              </c:strCache>
            </c:strRef>
          </c:cat>
          <c:val>
            <c:numRef>
              <c:f>'Problem 4 - a.'!$J$3:$J$4</c:f>
              <c:numCache>
                <c:formatCode>0.0000</c:formatCode>
                <c:ptCount val="2"/>
                <c:pt idx="0">
                  <c:v>0.94623485838187704</c:v>
                </c:pt>
                <c:pt idx="1">
                  <c:v>0.95745537036476214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6-4CCE-B491-535207D025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34116831"/>
        <c:axId val="1634125951"/>
        <c:axId val="0"/>
      </c:bar3DChart>
      <c:catAx>
        <c:axId val="163411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  <a:reflection stA="45000" endPos="59000" dist="5080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25951"/>
        <c:crosses val="autoZero"/>
        <c:auto val="1"/>
        <c:lblAlgn val="ctr"/>
        <c:lblOffset val="100"/>
        <c:noMultiLvlLbl val="0"/>
      </c:catAx>
      <c:valAx>
        <c:axId val="1634125951"/>
        <c:scaling>
          <c:orientation val="minMax"/>
        </c:scaling>
        <c:delete val="1"/>
        <c:axPos val="l"/>
        <c:numFmt formatCode="0.0000" sourceLinked="1"/>
        <c:majorTickMark val="out"/>
        <c:minorTickMark val="none"/>
        <c:tickLblPos val="nextTo"/>
        <c:crossAx val="163411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  <a:reflection stA="45000" endPos="59000" dist="50800" dir="5400000" sy="-100000" algn="bl" rotWithShape="0"/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 Data'!$F$1</c:f>
              <c:strCache>
                <c:ptCount val="1"/>
                <c:pt idx="0">
                  <c:v>Productivity_Score</c:v>
                </c:pt>
              </c:strCache>
            </c:strRef>
          </c:tx>
          <c:spPr>
            <a:ln w="95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00FF"/>
              </a:soli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'Raw Data'!$D$2:$D$26</c:f>
              <c:numCache>
                <c:formatCode>General</c:formatCode>
                <c:ptCount val="25"/>
                <c:pt idx="0">
                  <c:v>35</c:v>
                </c:pt>
                <c:pt idx="1">
                  <c:v>40</c:v>
                </c:pt>
                <c:pt idx="2">
                  <c:v>30</c:v>
                </c:pt>
                <c:pt idx="3">
                  <c:v>45</c:v>
                </c:pt>
                <c:pt idx="4">
                  <c:v>25</c:v>
                </c:pt>
                <c:pt idx="5">
                  <c:v>38</c:v>
                </c:pt>
                <c:pt idx="6">
                  <c:v>50</c:v>
                </c:pt>
                <c:pt idx="7">
                  <c:v>28</c:v>
                </c:pt>
                <c:pt idx="8">
                  <c:v>42</c:v>
                </c:pt>
                <c:pt idx="9">
                  <c:v>37</c:v>
                </c:pt>
                <c:pt idx="10">
                  <c:v>29</c:v>
                </c:pt>
                <c:pt idx="11">
                  <c:v>44</c:v>
                </c:pt>
                <c:pt idx="12">
                  <c:v>33</c:v>
                </c:pt>
                <c:pt idx="13">
                  <c:v>41</c:v>
                </c:pt>
                <c:pt idx="14">
                  <c:v>48</c:v>
                </c:pt>
                <c:pt idx="15">
                  <c:v>26</c:v>
                </c:pt>
                <c:pt idx="16">
                  <c:v>31</c:v>
                </c:pt>
                <c:pt idx="17">
                  <c:v>43</c:v>
                </c:pt>
                <c:pt idx="18">
                  <c:v>39</c:v>
                </c:pt>
                <c:pt idx="19">
                  <c:v>36</c:v>
                </c:pt>
                <c:pt idx="20">
                  <c:v>27</c:v>
                </c:pt>
                <c:pt idx="21">
                  <c:v>32</c:v>
                </c:pt>
                <c:pt idx="22">
                  <c:v>46</c:v>
                </c:pt>
                <c:pt idx="23">
                  <c:v>34</c:v>
                </c:pt>
                <c:pt idx="24">
                  <c:v>47</c:v>
                </c:pt>
              </c:numCache>
            </c:numRef>
          </c:xVal>
          <c:yVal>
            <c:numRef>
              <c:f>'Raw Data'!$F$2:$F$26</c:f>
              <c:numCache>
                <c:formatCode>General</c:formatCode>
                <c:ptCount val="25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95</c:v>
                </c:pt>
                <c:pt idx="4">
                  <c:v>60</c:v>
                </c:pt>
                <c:pt idx="5">
                  <c:v>85</c:v>
                </c:pt>
                <c:pt idx="6">
                  <c:v>100</c:v>
                </c:pt>
                <c:pt idx="7">
                  <c:v>65</c:v>
                </c:pt>
                <c:pt idx="8">
                  <c:v>92</c:v>
                </c:pt>
                <c:pt idx="9">
                  <c:v>83</c:v>
                </c:pt>
                <c:pt idx="10">
                  <c:v>68</c:v>
                </c:pt>
                <c:pt idx="11">
                  <c:v>94</c:v>
                </c:pt>
                <c:pt idx="12">
                  <c:v>75</c:v>
                </c:pt>
                <c:pt idx="13">
                  <c:v>89</c:v>
                </c:pt>
                <c:pt idx="14">
                  <c:v>98</c:v>
                </c:pt>
                <c:pt idx="15">
                  <c:v>62</c:v>
                </c:pt>
                <c:pt idx="16">
                  <c:v>72</c:v>
                </c:pt>
                <c:pt idx="17">
                  <c:v>93</c:v>
                </c:pt>
                <c:pt idx="18">
                  <c:v>87</c:v>
                </c:pt>
                <c:pt idx="19">
                  <c:v>78</c:v>
                </c:pt>
                <c:pt idx="20">
                  <c:v>64</c:v>
                </c:pt>
                <c:pt idx="21">
                  <c:v>74</c:v>
                </c:pt>
                <c:pt idx="22">
                  <c:v>96</c:v>
                </c:pt>
                <c:pt idx="23">
                  <c:v>76</c:v>
                </c:pt>
                <c:pt idx="24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B3-4319-80E4-8C281A46E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54831"/>
        <c:axId val="664955311"/>
      </c:scatterChart>
      <c:valAx>
        <c:axId val="66495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bg1"/>
                    </a:solidFill>
                  </a:rPr>
                  <a:t>Hours_Worked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55311"/>
        <c:crosses val="autoZero"/>
        <c:crossBetween val="midCat"/>
      </c:valAx>
      <c:valAx>
        <c:axId val="66495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ln>
                      <a:noFill/>
                    </a:ln>
                    <a:solidFill>
                      <a:schemeClr val="bg1"/>
                    </a:solidFill>
                  </a:rPr>
                  <a:t>Productivity_score</a:t>
                </a:r>
              </a:p>
            </c:rich>
          </c:tx>
          <c:overlay val="0"/>
          <c:spPr>
            <a:noFill/>
            <a:ln w="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54831"/>
        <c:crosses val="autoZero"/>
        <c:crossBetween val="midCat"/>
      </c:valAx>
      <c:spPr>
        <a:gradFill>
          <a:gsLst>
            <a:gs pos="57000">
              <a:schemeClr val="tx1">
                <a:lumMod val="95000"/>
                <a:lumOff val="5000"/>
                <a:alpha val="0"/>
              </a:schemeClr>
            </a:gs>
            <a:gs pos="86000">
              <a:schemeClr val="tx1">
                <a:lumMod val="85000"/>
                <a:lumOff val="15000"/>
              </a:schemeClr>
            </a:gs>
            <a:gs pos="100000">
              <a:schemeClr val="tx1">
                <a:lumMod val="75000"/>
                <a:lumOff val="25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>
      <a:solidFill>
        <a:schemeClr val="tx1">
          <a:lumMod val="95000"/>
          <a:lumOff val="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483280</xdr:colOff>
      <xdr:row>6</xdr:row>
      <xdr:rowOff>158095</xdr:rowOff>
    </xdr:from>
    <xdr:to>
      <xdr:col>6</xdr:col>
      <xdr:colOff>1018579</xdr:colOff>
      <xdr:row>46</xdr:row>
      <xdr:rowOff>105208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DDDEBD-CEB8-0D66-64E6-B6B463023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5</xdr:row>
      <xdr:rowOff>3810</xdr:rowOff>
    </xdr:from>
    <xdr:to>
      <xdr:col>9</xdr:col>
      <xdr:colOff>556260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195FB-B1BF-6A72-CAF5-B626EE952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450965</xdr:colOff>
      <xdr:row>3</xdr:row>
      <xdr:rowOff>6389</xdr:rowOff>
    </xdr:from>
    <xdr:to>
      <xdr:col>9</xdr:col>
      <xdr:colOff>138545</xdr:colOff>
      <xdr:row>25</xdr:row>
      <xdr:rowOff>69196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6EFF14-80DA-45E1-847C-4810DBF71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iz" refreshedDate="46001.735215393521" createdVersion="8" refreshedVersion="8" minRefreshableVersion="3" recordCount="25" xr:uid="{91DFE74C-710A-4951-8A8D-AF307D2C3909}">
  <cacheSource type="worksheet">
    <worksheetSource ref="B1:G26" sheet="Raw Data"/>
  </cacheSource>
  <cacheFields count="6">
    <cacheField name="Name" numFmtId="0">
      <sharedItems count="25">
        <s v="Aakash"/>
        <s v="Meera"/>
        <s v="Suresh"/>
        <s v="Riya"/>
        <s v="Prakash"/>
        <s v="Neha"/>
        <s v="Rahul"/>
        <s v="Priya"/>
        <s v="Kunal"/>
        <s v="Sneha"/>
        <s v="Amit"/>
        <s v="Pooja"/>
        <s v="Varun"/>
        <s v="Deepak"/>
        <s v="Rakesh"/>
        <s v="Kavita"/>
        <s v="Sanjay"/>
        <s v="Arjun"/>
        <s v="Anjali"/>
        <s v="Suman"/>
        <s v="Mohan"/>
        <s v="Jyoti"/>
        <s v="Neeraj"/>
        <s v="Akash"/>
        <s v="Tanya"/>
      </sharedItems>
    </cacheField>
    <cacheField name="Department" numFmtId="0">
      <sharedItems count="5">
        <s v="Sales"/>
        <s v="Marketing"/>
        <s v="HR"/>
        <s v="IT"/>
        <s v="Finance"/>
      </sharedItems>
    </cacheField>
    <cacheField name="Hours_Worked" numFmtId="0">
      <sharedItems containsSemiMixedTypes="0" containsString="0" containsNumber="1" containsInteger="1" minValue="25" maxValue="50"/>
    </cacheField>
    <cacheField name="Tasks_Completed" numFmtId="0">
      <sharedItems containsSemiMixedTypes="0" containsString="0" containsNumber="1" containsInteger="1" minValue="30" maxValue="80"/>
    </cacheField>
    <cacheField name="Productivity_Score" numFmtId="0">
      <sharedItems containsSemiMixedTypes="0" containsString="0" containsNumber="1" containsInteger="1" minValue="60" maxValue="100"/>
    </cacheField>
    <cacheField name="Performance_Rating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35"/>
    <n v="50"/>
    <n v="80"/>
    <n v="4"/>
  </r>
  <r>
    <x v="1"/>
    <x v="1"/>
    <n v="40"/>
    <n v="65"/>
    <n v="90"/>
    <n v="5"/>
  </r>
  <r>
    <x v="2"/>
    <x v="2"/>
    <n v="30"/>
    <n v="40"/>
    <n v="70"/>
    <n v="3"/>
  </r>
  <r>
    <x v="3"/>
    <x v="3"/>
    <n v="45"/>
    <n v="75"/>
    <n v="95"/>
    <n v="5"/>
  </r>
  <r>
    <x v="4"/>
    <x v="4"/>
    <n v="25"/>
    <n v="30"/>
    <n v="60"/>
    <n v="2"/>
  </r>
  <r>
    <x v="5"/>
    <x v="0"/>
    <n v="38"/>
    <n v="58"/>
    <n v="85"/>
    <n v="4"/>
  </r>
  <r>
    <x v="6"/>
    <x v="3"/>
    <n v="50"/>
    <n v="80"/>
    <n v="100"/>
    <n v="5"/>
  </r>
  <r>
    <x v="7"/>
    <x v="2"/>
    <n v="28"/>
    <n v="35"/>
    <n v="65"/>
    <n v="3"/>
  </r>
  <r>
    <x v="8"/>
    <x v="1"/>
    <n v="42"/>
    <n v="70"/>
    <n v="92"/>
    <n v="5"/>
  </r>
  <r>
    <x v="9"/>
    <x v="0"/>
    <n v="37"/>
    <n v="55"/>
    <n v="83"/>
    <n v="4"/>
  </r>
  <r>
    <x v="10"/>
    <x v="4"/>
    <n v="29"/>
    <n v="38"/>
    <n v="68"/>
    <n v="3"/>
  </r>
  <r>
    <x v="11"/>
    <x v="1"/>
    <n v="44"/>
    <n v="73"/>
    <n v="94"/>
    <n v="5"/>
  </r>
  <r>
    <x v="12"/>
    <x v="2"/>
    <n v="33"/>
    <n v="45"/>
    <n v="75"/>
    <n v="3"/>
  </r>
  <r>
    <x v="13"/>
    <x v="0"/>
    <n v="41"/>
    <n v="66"/>
    <n v="89"/>
    <n v="4"/>
  </r>
  <r>
    <x v="14"/>
    <x v="3"/>
    <n v="48"/>
    <n v="78"/>
    <n v="98"/>
    <n v="5"/>
  </r>
  <r>
    <x v="15"/>
    <x v="4"/>
    <n v="26"/>
    <n v="32"/>
    <n v="62"/>
    <n v="2"/>
  </r>
  <r>
    <x v="16"/>
    <x v="2"/>
    <n v="31"/>
    <n v="42"/>
    <n v="72"/>
    <n v="3"/>
  </r>
  <r>
    <x v="17"/>
    <x v="1"/>
    <n v="43"/>
    <n v="75"/>
    <n v="93"/>
    <n v="5"/>
  </r>
  <r>
    <x v="18"/>
    <x v="3"/>
    <n v="39"/>
    <n v="60"/>
    <n v="87"/>
    <n v="4"/>
  </r>
  <r>
    <x v="19"/>
    <x v="0"/>
    <n v="36"/>
    <n v="52"/>
    <n v="78"/>
    <n v="4"/>
  </r>
  <r>
    <x v="20"/>
    <x v="4"/>
    <n v="27"/>
    <n v="34"/>
    <n v="64"/>
    <n v="2"/>
  </r>
  <r>
    <x v="21"/>
    <x v="2"/>
    <n v="32"/>
    <n v="44"/>
    <n v="74"/>
    <n v="3"/>
  </r>
  <r>
    <x v="22"/>
    <x v="1"/>
    <n v="46"/>
    <n v="77"/>
    <n v="96"/>
    <n v="5"/>
  </r>
  <r>
    <x v="23"/>
    <x v="0"/>
    <n v="34"/>
    <n v="48"/>
    <n v="76"/>
    <n v="3"/>
  </r>
  <r>
    <x v="24"/>
    <x v="3"/>
    <n v="47"/>
    <n v="79"/>
    <n v="99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27C32-5958-4C45-9C8F-831071CC456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axis="axisRow" showAll="0">
      <items count="26">
        <item x="0"/>
        <item x="23"/>
        <item x="10"/>
        <item x="18"/>
        <item x="17"/>
        <item x="13"/>
        <item x="21"/>
        <item x="15"/>
        <item x="8"/>
        <item x="1"/>
        <item x="20"/>
        <item x="22"/>
        <item x="5"/>
        <item x="11"/>
        <item x="4"/>
        <item x="7"/>
        <item x="6"/>
        <item x="14"/>
        <item x="3"/>
        <item x="16"/>
        <item x="9"/>
        <item x="19"/>
        <item x="2"/>
        <item x="24"/>
        <item x="12"/>
        <item t="default"/>
      </items>
    </pivotField>
    <pivotField axis="axisRow" showAll="0">
      <items count="6">
        <item sd="0" x="4"/>
        <item sd="0" x="2"/>
        <item sd="0" x="3"/>
        <item sd="0" x="1"/>
        <item sd="0" x="0"/>
        <item t="default"/>
      </items>
    </pivotField>
    <pivotField showAll="0"/>
    <pivotField showAll="0"/>
    <pivotField dataField="1" showAll="0"/>
    <pivotField showAll="0"/>
  </pivotFields>
  <rowFields count="2">
    <field x="1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dDevp of Productivity_Score" fld="4" subtotal="stdDevp" baseField="0" baseItem="1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98B018-A37A-4542-91FB-BD6BB6A71B8C}" name="Table25" displayName="Table25" ref="B3:I28" totalsRowShown="0" headerRowDxfId="24" dataDxfId="22" headerRowBorderDxfId="23" tableBorderDxfId="21" totalsRowBorderDxfId="20">
  <tableColumns count="8">
    <tableColumn id="1" xr3:uid="{D279A924-EEA1-4BA3-9A67-BDF528F30ED1}" name="Employee_ID" dataDxfId="19"/>
    <tableColumn id="2" xr3:uid="{57E5E22C-9774-4B74-B66C-4449768F1EC4}" name="Name" dataDxfId="18"/>
    <tableColumn id="3" xr3:uid="{C5FAE71A-B7BC-489D-9BFF-449EDE80AD77}" name="Department" dataDxfId="17"/>
    <tableColumn id="4" xr3:uid="{C97D45FE-6C71-48EF-B679-00D42BEDB3DF}" name="Hours_Worked" dataDxfId="16"/>
    <tableColumn id="5" xr3:uid="{18D69B78-1A6A-484F-A2AA-5713DBC1A272}" name="Tasks_Completed" dataDxfId="15"/>
    <tableColumn id="6" xr3:uid="{278B71D4-0D8F-4D77-A81D-CD449B10F99C}" name="Productivity_Score" dataDxfId="14"/>
    <tableColumn id="7" xr3:uid="{03001EEF-FD48-42C5-B39E-25A4134EDBB6}" name="Performance_Rating" dataDxfId="13"/>
    <tableColumn id="8" xr3:uid="{94E567B2-91F1-4F38-89F1-C2B6A2FF0912}" name="Tasks_Per_Hour" dataDxfId="12">
      <calculatedColumnFormula>F4/E4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DAAFA5-E2B6-4F47-84F9-B6AF79232F87}" name="Table2" displayName="Table2" ref="A1:G26" totalsRowShown="0" headerRowDxfId="11" dataDxfId="9" headerRowBorderDxfId="10" tableBorderDxfId="8" totalsRowBorderDxfId="7">
  <autoFilter ref="A1:G26" xr:uid="{14DAAFA5-E2B6-4F47-84F9-B6AF79232F87}"/>
  <tableColumns count="7">
    <tableColumn id="1" xr3:uid="{4967544E-22EF-49A1-850C-A41FAFCF0307}" name="Employee_ID" dataDxfId="6"/>
    <tableColumn id="2" xr3:uid="{B7BED6B9-9201-4A13-8000-C412B3B6C630}" name="Name" dataDxfId="5"/>
    <tableColumn id="3" xr3:uid="{FC3CDF04-A693-4172-A5F8-94C7D5D183C4}" name="Department" dataDxfId="4"/>
    <tableColumn id="4" xr3:uid="{A22960A2-2F6C-4675-89BE-B0FA627C729D}" name="Hours_Worked" dataDxfId="3"/>
    <tableColumn id="5" xr3:uid="{6807CA0B-0DF7-4CE5-9821-AD5A251C8FD3}" name="Tasks_Completed" dataDxfId="2"/>
    <tableColumn id="6" xr3:uid="{70A067E3-ADE3-41C2-B17D-E09F521B9F9B}" name="Productivity_Score" dataDxfId="1"/>
    <tableColumn id="7" xr3:uid="{57745CEA-DE8E-4B8A-B97E-7543B894AAE8}" name="Performance_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7400-3093-4015-B3C1-CFE4B5D23389}">
  <sheetPr filterMode="1"/>
  <dimension ref="A1:H27"/>
  <sheetViews>
    <sheetView tabSelected="1" zoomScale="97" zoomScaleNormal="100" workbookViewId="0">
      <selection activeCell="F5" sqref="F5"/>
    </sheetView>
  </sheetViews>
  <sheetFormatPr defaultRowHeight="17.399999999999999" x14ac:dyDescent="0.35"/>
  <cols>
    <col min="1" max="1" width="14.109375" style="16" customWidth="1"/>
    <col min="2" max="2" width="8.88671875" style="16"/>
    <col min="3" max="8" width="19.6640625" style="16" customWidth="1"/>
    <col min="9" max="16384" width="8.88671875" style="16"/>
  </cols>
  <sheetData>
    <row r="1" spans="1:8" ht="35.4" thickBot="1" x14ac:dyDescent="0.4">
      <c r="A1" s="15" t="s">
        <v>42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8" t="s">
        <v>6</v>
      </c>
    </row>
    <row r="2" spans="1:8" ht="18" thickBot="1" x14ac:dyDescent="0.4">
      <c r="C2" s="19" t="s">
        <v>18</v>
      </c>
      <c r="D2" s="19" t="s">
        <v>14</v>
      </c>
      <c r="E2" s="19">
        <v>50</v>
      </c>
      <c r="F2" s="19">
        <v>80</v>
      </c>
      <c r="G2" s="19">
        <v>100</v>
      </c>
      <c r="H2" s="19">
        <v>5</v>
      </c>
    </row>
    <row r="3" spans="1:8" ht="17.399999999999999" customHeight="1" thickBot="1" x14ac:dyDescent="0.4">
      <c r="C3" s="19" t="s">
        <v>36</v>
      </c>
      <c r="D3" s="19" t="s">
        <v>14</v>
      </c>
      <c r="E3" s="19">
        <v>47</v>
      </c>
      <c r="F3" s="19">
        <v>79</v>
      </c>
      <c r="G3" s="19">
        <v>99</v>
      </c>
      <c r="H3" s="19">
        <v>5</v>
      </c>
    </row>
    <row r="4" spans="1:8" ht="17.399999999999999" customHeight="1" thickBot="1" x14ac:dyDescent="0.4">
      <c r="C4" s="19" t="s">
        <v>26</v>
      </c>
      <c r="D4" s="19" t="s">
        <v>14</v>
      </c>
      <c r="E4" s="19">
        <v>48</v>
      </c>
      <c r="F4" s="19">
        <v>78</v>
      </c>
      <c r="G4" s="19">
        <v>98</v>
      </c>
      <c r="H4" s="19">
        <v>5</v>
      </c>
    </row>
    <row r="5" spans="1:8" ht="17.399999999999999" customHeight="1" thickBot="1" x14ac:dyDescent="0.4">
      <c r="C5" s="19" t="s">
        <v>34</v>
      </c>
      <c r="D5" s="19" t="s">
        <v>10</v>
      </c>
      <c r="E5" s="19">
        <v>46</v>
      </c>
      <c r="F5" s="19">
        <v>77</v>
      </c>
      <c r="G5" s="19">
        <v>96</v>
      </c>
      <c r="H5" s="19">
        <v>5</v>
      </c>
    </row>
    <row r="6" spans="1:8" ht="17.399999999999999" customHeight="1" thickBot="1" x14ac:dyDescent="0.4">
      <c r="C6" s="19" t="s">
        <v>13</v>
      </c>
      <c r="D6" s="19" t="s">
        <v>14</v>
      </c>
      <c r="E6" s="19">
        <v>45</v>
      </c>
      <c r="F6" s="19">
        <v>75</v>
      </c>
      <c r="G6" s="19">
        <v>95</v>
      </c>
      <c r="H6" s="19">
        <v>5</v>
      </c>
    </row>
    <row r="7" spans="1:8" ht="17.399999999999999" customHeight="1" x14ac:dyDescent="0.35"/>
    <row r="8" spans="1:8" customFormat="1" ht="17.399999999999999" hidden="1" customHeight="1" thickBot="1" x14ac:dyDescent="0.35">
      <c r="C8" s="4" t="s">
        <v>23</v>
      </c>
      <c r="D8" s="4" t="s">
        <v>10</v>
      </c>
      <c r="E8" s="4">
        <v>44</v>
      </c>
      <c r="F8" s="4">
        <v>73</v>
      </c>
      <c r="G8" s="4">
        <v>94</v>
      </c>
      <c r="H8" s="4">
        <v>5</v>
      </c>
    </row>
    <row r="9" spans="1:8" customFormat="1" ht="17.399999999999999" hidden="1" customHeight="1" thickBot="1" x14ac:dyDescent="0.35">
      <c r="C9" s="4" t="s">
        <v>29</v>
      </c>
      <c r="D9" s="4" t="s">
        <v>10</v>
      </c>
      <c r="E9" s="4">
        <v>43</v>
      </c>
      <c r="F9" s="4">
        <v>75</v>
      </c>
      <c r="G9" s="4">
        <v>93</v>
      </c>
      <c r="H9" s="4">
        <v>5</v>
      </c>
    </row>
    <row r="10" spans="1:8" customFormat="1" ht="17.399999999999999" hidden="1" customHeight="1" thickBot="1" x14ac:dyDescent="0.35">
      <c r="C10" s="3" t="s">
        <v>20</v>
      </c>
      <c r="D10" s="3" t="s">
        <v>10</v>
      </c>
      <c r="E10" s="3">
        <v>42</v>
      </c>
      <c r="F10" s="3">
        <v>70</v>
      </c>
      <c r="G10" s="3">
        <v>92</v>
      </c>
      <c r="H10" s="3">
        <v>5</v>
      </c>
    </row>
    <row r="11" spans="1:8" customFormat="1" ht="17.399999999999999" hidden="1" customHeight="1" thickBot="1" x14ac:dyDescent="0.35">
      <c r="C11" s="4" t="s">
        <v>9</v>
      </c>
      <c r="D11" s="4" t="s">
        <v>10</v>
      </c>
      <c r="E11" s="4">
        <v>40</v>
      </c>
      <c r="F11" s="4">
        <v>65</v>
      </c>
      <c r="G11" s="4">
        <v>90</v>
      </c>
      <c r="H11" s="4">
        <v>5</v>
      </c>
    </row>
    <row r="12" spans="1:8" customFormat="1" ht="17.399999999999999" hidden="1" customHeight="1" thickBot="1" x14ac:dyDescent="0.35">
      <c r="C12" s="4" t="s">
        <v>25</v>
      </c>
      <c r="D12" s="4" t="s">
        <v>8</v>
      </c>
      <c r="E12" s="4">
        <v>41</v>
      </c>
      <c r="F12" s="4">
        <v>66</v>
      </c>
      <c r="G12" s="4">
        <v>89</v>
      </c>
      <c r="H12" s="4">
        <v>4</v>
      </c>
    </row>
    <row r="13" spans="1:8" customFormat="1" ht="17.399999999999999" hidden="1" customHeight="1" thickBot="1" x14ac:dyDescent="0.35">
      <c r="C13" s="3" t="s">
        <v>30</v>
      </c>
      <c r="D13" s="3" t="s">
        <v>14</v>
      </c>
      <c r="E13" s="3">
        <v>39</v>
      </c>
      <c r="F13" s="3">
        <v>60</v>
      </c>
      <c r="G13" s="3">
        <v>87</v>
      </c>
      <c r="H13" s="3">
        <v>4</v>
      </c>
    </row>
    <row r="14" spans="1:8" customFormat="1" ht="17.399999999999999" hidden="1" customHeight="1" thickBot="1" x14ac:dyDescent="0.35">
      <c r="C14" s="4" t="s">
        <v>17</v>
      </c>
      <c r="D14" s="4" t="s">
        <v>8</v>
      </c>
      <c r="E14" s="4">
        <v>38</v>
      </c>
      <c r="F14" s="4">
        <v>58</v>
      </c>
      <c r="G14" s="4">
        <v>85</v>
      </c>
      <c r="H14" s="4">
        <v>4</v>
      </c>
    </row>
    <row r="15" spans="1:8" customFormat="1" ht="17.399999999999999" hidden="1" customHeight="1" thickBot="1" x14ac:dyDescent="0.35">
      <c r="C15" s="4" t="s">
        <v>21</v>
      </c>
      <c r="D15" s="4" t="s">
        <v>8</v>
      </c>
      <c r="E15" s="4">
        <v>37</v>
      </c>
      <c r="F15" s="4">
        <v>55</v>
      </c>
      <c r="G15" s="4">
        <v>83</v>
      </c>
      <c r="H15" s="4">
        <v>4</v>
      </c>
    </row>
    <row r="16" spans="1:8" customFormat="1" ht="17.399999999999999" hidden="1" customHeight="1" thickBot="1" x14ac:dyDescent="0.35">
      <c r="C16" s="3" t="s">
        <v>7</v>
      </c>
      <c r="D16" s="3" t="s">
        <v>8</v>
      </c>
      <c r="E16" s="3">
        <v>35</v>
      </c>
      <c r="F16" s="3">
        <v>50</v>
      </c>
      <c r="G16" s="3">
        <v>80</v>
      </c>
      <c r="H16" s="3">
        <v>4</v>
      </c>
    </row>
    <row r="17" spans="3:8" customFormat="1" ht="17.399999999999999" hidden="1" customHeight="1" thickBot="1" x14ac:dyDescent="0.35">
      <c r="C17" s="4" t="s">
        <v>31</v>
      </c>
      <c r="D17" s="4" t="s">
        <v>8</v>
      </c>
      <c r="E17" s="4">
        <v>36</v>
      </c>
      <c r="F17" s="4">
        <v>52</v>
      </c>
      <c r="G17" s="4">
        <v>78</v>
      </c>
      <c r="H17" s="4">
        <v>4</v>
      </c>
    </row>
    <row r="18" spans="3:8" customFormat="1" ht="17.399999999999999" hidden="1" customHeight="1" thickBot="1" x14ac:dyDescent="0.35">
      <c r="C18" s="4" t="s">
        <v>35</v>
      </c>
      <c r="D18" s="4" t="s">
        <v>8</v>
      </c>
      <c r="E18" s="4">
        <v>34</v>
      </c>
      <c r="F18" s="4">
        <v>48</v>
      </c>
      <c r="G18" s="4">
        <v>76</v>
      </c>
      <c r="H18" s="4">
        <v>3</v>
      </c>
    </row>
    <row r="19" spans="3:8" customFormat="1" ht="17.399999999999999" hidden="1" customHeight="1" thickBot="1" x14ac:dyDescent="0.35">
      <c r="C19" s="3" t="s">
        <v>24</v>
      </c>
      <c r="D19" s="3" t="s">
        <v>12</v>
      </c>
      <c r="E19" s="3">
        <v>33</v>
      </c>
      <c r="F19" s="3">
        <v>45</v>
      </c>
      <c r="G19" s="3">
        <v>75</v>
      </c>
      <c r="H19" s="3">
        <v>3</v>
      </c>
    </row>
    <row r="20" spans="3:8" customFormat="1" ht="17.399999999999999" hidden="1" customHeight="1" thickBot="1" x14ac:dyDescent="0.35">
      <c r="C20" s="4" t="s">
        <v>33</v>
      </c>
      <c r="D20" s="4" t="s">
        <v>12</v>
      </c>
      <c r="E20" s="4">
        <v>32</v>
      </c>
      <c r="F20" s="4">
        <v>44</v>
      </c>
      <c r="G20" s="4">
        <v>74</v>
      </c>
      <c r="H20" s="4">
        <v>3</v>
      </c>
    </row>
    <row r="21" spans="3:8" customFormat="1" ht="17.399999999999999" hidden="1" customHeight="1" thickBot="1" x14ac:dyDescent="0.35">
      <c r="C21" s="3" t="s">
        <v>28</v>
      </c>
      <c r="D21" s="3" t="s">
        <v>12</v>
      </c>
      <c r="E21" s="3">
        <v>31</v>
      </c>
      <c r="F21" s="3">
        <v>42</v>
      </c>
      <c r="G21" s="3">
        <v>72</v>
      </c>
      <c r="H21" s="3">
        <v>3</v>
      </c>
    </row>
    <row r="22" spans="3:8" customFormat="1" ht="17.399999999999999" hidden="1" customHeight="1" thickBot="1" x14ac:dyDescent="0.35">
      <c r="C22" s="3" t="s">
        <v>11</v>
      </c>
      <c r="D22" s="3" t="s">
        <v>12</v>
      </c>
      <c r="E22" s="3">
        <v>30</v>
      </c>
      <c r="F22" s="3">
        <v>40</v>
      </c>
      <c r="G22" s="3">
        <v>70</v>
      </c>
      <c r="H22" s="3">
        <v>3</v>
      </c>
    </row>
    <row r="23" spans="3:8" customFormat="1" ht="17.399999999999999" hidden="1" customHeight="1" thickBot="1" x14ac:dyDescent="0.35">
      <c r="C23" s="3" t="s">
        <v>22</v>
      </c>
      <c r="D23" s="3" t="s">
        <v>16</v>
      </c>
      <c r="E23" s="3">
        <v>29</v>
      </c>
      <c r="F23" s="3">
        <v>38</v>
      </c>
      <c r="G23" s="3">
        <v>68</v>
      </c>
      <c r="H23" s="3">
        <v>3</v>
      </c>
    </row>
    <row r="24" spans="3:8" customFormat="1" ht="17.399999999999999" hidden="1" customHeight="1" thickBot="1" x14ac:dyDescent="0.35">
      <c r="C24" s="4" t="s">
        <v>19</v>
      </c>
      <c r="D24" s="4" t="s">
        <v>12</v>
      </c>
      <c r="E24" s="4">
        <v>28</v>
      </c>
      <c r="F24" s="4">
        <v>35</v>
      </c>
      <c r="G24" s="4">
        <v>65</v>
      </c>
      <c r="H24" s="4">
        <v>3</v>
      </c>
    </row>
    <row r="25" spans="3:8" customFormat="1" ht="17.399999999999999" hidden="1" customHeight="1" thickBot="1" x14ac:dyDescent="0.35">
      <c r="C25" s="3" t="s">
        <v>32</v>
      </c>
      <c r="D25" s="3" t="s">
        <v>16</v>
      </c>
      <c r="E25" s="3">
        <v>27</v>
      </c>
      <c r="F25" s="3">
        <v>34</v>
      </c>
      <c r="G25" s="3">
        <v>64</v>
      </c>
      <c r="H25" s="3">
        <v>2</v>
      </c>
    </row>
    <row r="26" spans="3:8" customFormat="1" ht="17.399999999999999" hidden="1" customHeight="1" thickBot="1" x14ac:dyDescent="0.35">
      <c r="C26" s="4" t="s">
        <v>27</v>
      </c>
      <c r="D26" s="4" t="s">
        <v>16</v>
      </c>
      <c r="E26" s="4">
        <v>26</v>
      </c>
      <c r="F26" s="4">
        <v>32</v>
      </c>
      <c r="G26" s="4">
        <v>62</v>
      </c>
      <c r="H26" s="4">
        <v>2</v>
      </c>
    </row>
    <row r="27" spans="3:8" customFormat="1" ht="17.399999999999999" hidden="1" customHeight="1" thickBot="1" x14ac:dyDescent="0.35">
      <c r="C27" s="3" t="s">
        <v>15</v>
      </c>
      <c r="D27" s="3" t="s">
        <v>16</v>
      </c>
      <c r="E27" s="3">
        <v>25</v>
      </c>
      <c r="F27" s="3">
        <v>30</v>
      </c>
      <c r="G27" s="3">
        <v>60</v>
      </c>
      <c r="H27" s="3">
        <v>2</v>
      </c>
    </row>
  </sheetData>
  <autoFilter ref="G2:G27" xr:uid="{ADED7400-3093-4015-B3C1-CFE4B5D23389}">
    <filterColumn colId="0">
      <top10 val="5" filterVal="95"/>
    </filterColumn>
  </autoFilter>
  <sortState xmlns:xlrd2="http://schemas.microsoft.com/office/spreadsheetml/2017/richdata2" ref="C3:H27">
    <sortCondition descending="1" ref="G3:G27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42D7-669F-4B3E-8520-F80FC4E63477}">
  <dimension ref="A1:E22"/>
  <sheetViews>
    <sheetView zoomScale="113" workbookViewId="0">
      <selection activeCell="B8" sqref="B8"/>
    </sheetView>
  </sheetViews>
  <sheetFormatPr defaultRowHeight="17.399999999999999" x14ac:dyDescent="0.35"/>
  <cols>
    <col min="1" max="1" width="12.5546875" style="16" bestFit="1" customWidth="1"/>
    <col min="2" max="2" width="27.109375" style="16" bestFit="1" customWidth="1"/>
    <col min="3" max="3" width="7" style="16" customWidth="1"/>
    <col min="4" max="4" width="94" style="16" customWidth="1"/>
    <col min="5" max="5" width="8.21875" style="16" customWidth="1"/>
    <col min="6" max="6" width="8.33203125" style="16" customWidth="1"/>
    <col min="7" max="7" width="10.77734375" style="16" bestFit="1" customWidth="1"/>
    <col min="8" max="16384" width="8.88671875" style="16"/>
  </cols>
  <sheetData>
    <row r="1" spans="1:4" x14ac:dyDescent="0.35">
      <c r="A1" s="15" t="s">
        <v>43</v>
      </c>
    </row>
    <row r="3" spans="1:4" x14ac:dyDescent="0.35">
      <c r="A3" s="20" t="s">
        <v>37</v>
      </c>
      <c r="B3" s="16" t="s">
        <v>39</v>
      </c>
    </row>
    <row r="4" spans="1:4" x14ac:dyDescent="0.35">
      <c r="A4" s="21" t="s">
        <v>16</v>
      </c>
      <c r="B4" s="16">
        <v>2.9580398915498081</v>
      </c>
    </row>
    <row r="5" spans="1:4" x14ac:dyDescent="0.35">
      <c r="A5" s="21" t="s">
        <v>12</v>
      </c>
      <c r="B5" s="16">
        <v>3.54400902933387</v>
      </c>
    </row>
    <row r="6" spans="1:4" x14ac:dyDescent="0.35">
      <c r="A6" s="21" t="s">
        <v>14</v>
      </c>
      <c r="B6" s="16">
        <v>4.7074409183759283</v>
      </c>
    </row>
    <row r="7" spans="1:4" x14ac:dyDescent="0.35">
      <c r="A7" s="21" t="s">
        <v>10</v>
      </c>
      <c r="B7" s="16">
        <v>2</v>
      </c>
    </row>
    <row r="8" spans="1:4" x14ac:dyDescent="0.35">
      <c r="A8" s="21" t="s">
        <v>8</v>
      </c>
      <c r="B8" s="16">
        <v>4.3748015828022293</v>
      </c>
    </row>
    <row r="9" spans="1:4" x14ac:dyDescent="0.35">
      <c r="A9" s="21" t="s">
        <v>38</v>
      </c>
      <c r="B9" s="16">
        <v>12.412896519346321</v>
      </c>
    </row>
    <row r="10" spans="1:4" x14ac:dyDescent="0.35">
      <c r="D10" s="22" t="s">
        <v>41</v>
      </c>
    </row>
    <row r="22" spans="5:5" x14ac:dyDescent="0.35">
      <c r="E22" s="16" t="s">
        <v>40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B25A-8D4D-4B64-B324-AAD1AA94CFC9}">
  <sheetPr filterMode="1"/>
  <dimension ref="B1:H27"/>
  <sheetViews>
    <sheetView topLeftCell="B1" zoomScale="90" zoomScaleNormal="100" workbookViewId="0">
      <selection activeCell="E33" sqref="E33"/>
    </sheetView>
  </sheetViews>
  <sheetFormatPr defaultRowHeight="17.399999999999999" x14ac:dyDescent="0.35"/>
  <cols>
    <col min="1" max="1" width="8.88671875" style="16"/>
    <col min="2" max="7" width="19.109375" style="16" customWidth="1"/>
    <col min="8" max="8" width="17.44140625" style="16" customWidth="1"/>
    <col min="9" max="16384" width="8.88671875" style="16"/>
  </cols>
  <sheetData>
    <row r="1" spans="2:8" ht="18" thickBot="1" x14ac:dyDescent="0.4">
      <c r="B1" s="15" t="s">
        <v>45</v>
      </c>
    </row>
    <row r="2" spans="2:8" ht="35.4" thickBot="1" x14ac:dyDescent="0.4"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23" t="s">
        <v>6</v>
      </c>
      <c r="H2" s="24" t="s">
        <v>44</v>
      </c>
    </row>
    <row r="3" spans="2:8" ht="16.8" customHeight="1" thickBot="1" x14ac:dyDescent="0.4">
      <c r="B3" s="25" t="s">
        <v>9</v>
      </c>
      <c r="C3" s="25" t="s">
        <v>10</v>
      </c>
      <c r="D3" s="25">
        <v>40</v>
      </c>
      <c r="E3" s="25">
        <v>65</v>
      </c>
      <c r="F3" s="25">
        <v>90</v>
      </c>
      <c r="G3" s="26">
        <v>5</v>
      </c>
      <c r="H3" s="27">
        <f t="shared" ref="H3:H27" si="0">(F3*G3)/D3</f>
        <v>11.25</v>
      </c>
    </row>
    <row r="4" spans="2:8" ht="16.8" customHeight="1" thickBot="1" x14ac:dyDescent="0.4">
      <c r="B4" s="19" t="s">
        <v>20</v>
      </c>
      <c r="C4" s="19" t="s">
        <v>10</v>
      </c>
      <c r="D4" s="19">
        <v>42</v>
      </c>
      <c r="E4" s="19">
        <v>70</v>
      </c>
      <c r="F4" s="19">
        <v>92</v>
      </c>
      <c r="G4" s="28">
        <v>5</v>
      </c>
      <c r="H4" s="29">
        <f t="shared" si="0"/>
        <v>10.952380952380953</v>
      </c>
    </row>
    <row r="5" spans="2:8" ht="16.8" customHeight="1" thickBot="1" x14ac:dyDescent="0.4">
      <c r="B5" s="25" t="s">
        <v>29</v>
      </c>
      <c r="C5" s="25" t="s">
        <v>10</v>
      </c>
      <c r="D5" s="25">
        <v>43</v>
      </c>
      <c r="E5" s="25">
        <v>75</v>
      </c>
      <c r="F5" s="25">
        <v>93</v>
      </c>
      <c r="G5" s="26">
        <v>5</v>
      </c>
      <c r="H5" s="30">
        <f t="shared" si="0"/>
        <v>10.813953488372093</v>
      </c>
    </row>
    <row r="6" spans="2:8" customFormat="1" ht="16.8" hidden="1" customHeight="1" thickBot="1" x14ac:dyDescent="0.35">
      <c r="B6" s="4" t="s">
        <v>23</v>
      </c>
      <c r="C6" s="4" t="s">
        <v>10</v>
      </c>
      <c r="D6" s="4">
        <v>44</v>
      </c>
      <c r="E6" s="4">
        <v>73</v>
      </c>
      <c r="F6" s="4">
        <v>94</v>
      </c>
      <c r="G6" s="7">
        <v>5</v>
      </c>
      <c r="H6" s="8">
        <f t="shared" si="0"/>
        <v>10.681818181818182</v>
      </c>
    </row>
    <row r="7" spans="2:8" customFormat="1" ht="16.8" hidden="1" customHeight="1" thickBot="1" x14ac:dyDescent="0.35">
      <c r="B7" s="4" t="s">
        <v>13</v>
      </c>
      <c r="C7" s="4" t="s">
        <v>14</v>
      </c>
      <c r="D7" s="4">
        <v>45</v>
      </c>
      <c r="E7" s="4">
        <v>75</v>
      </c>
      <c r="F7" s="4">
        <v>95</v>
      </c>
      <c r="G7" s="7">
        <v>5</v>
      </c>
      <c r="H7" s="8">
        <f t="shared" si="0"/>
        <v>10.555555555555555</v>
      </c>
    </row>
    <row r="8" spans="2:8" customFormat="1" ht="16.8" hidden="1" customHeight="1" thickBot="1" x14ac:dyDescent="0.35">
      <c r="B8" s="3" t="s">
        <v>36</v>
      </c>
      <c r="C8" s="3" t="s">
        <v>14</v>
      </c>
      <c r="D8" s="3">
        <v>47</v>
      </c>
      <c r="E8" s="3">
        <v>79</v>
      </c>
      <c r="F8" s="3">
        <v>99</v>
      </c>
      <c r="G8" s="6">
        <v>5</v>
      </c>
      <c r="H8" s="9">
        <f t="shared" si="0"/>
        <v>10.531914893617021</v>
      </c>
    </row>
    <row r="9" spans="2:8" customFormat="1" ht="16.8" hidden="1" customHeight="1" thickBot="1" x14ac:dyDescent="0.35">
      <c r="B9" s="3" t="s">
        <v>34</v>
      </c>
      <c r="C9" s="3" t="s">
        <v>10</v>
      </c>
      <c r="D9" s="3">
        <v>46</v>
      </c>
      <c r="E9" s="3">
        <v>77</v>
      </c>
      <c r="F9" s="3">
        <v>96</v>
      </c>
      <c r="G9" s="6">
        <v>5</v>
      </c>
      <c r="H9" s="9">
        <f t="shared" si="0"/>
        <v>10.434782608695652</v>
      </c>
    </row>
    <row r="10" spans="2:8" customFormat="1" ht="16.8" hidden="1" customHeight="1" thickBot="1" x14ac:dyDescent="0.35">
      <c r="B10" s="3" t="s">
        <v>26</v>
      </c>
      <c r="C10" s="3" t="s">
        <v>14</v>
      </c>
      <c r="D10" s="3">
        <v>48</v>
      </c>
      <c r="E10" s="3">
        <v>78</v>
      </c>
      <c r="F10" s="3">
        <v>98</v>
      </c>
      <c r="G10" s="6">
        <v>5</v>
      </c>
      <c r="H10" s="9">
        <f t="shared" si="0"/>
        <v>10.208333333333334</v>
      </c>
    </row>
    <row r="11" spans="2:8" customFormat="1" ht="16.8" hidden="1" customHeight="1" thickBot="1" x14ac:dyDescent="0.35">
      <c r="B11" s="3" t="s">
        <v>18</v>
      </c>
      <c r="C11" s="3" t="s">
        <v>14</v>
      </c>
      <c r="D11" s="3">
        <v>50</v>
      </c>
      <c r="E11" s="3">
        <v>80</v>
      </c>
      <c r="F11" s="3">
        <v>100</v>
      </c>
      <c r="G11" s="6">
        <v>5</v>
      </c>
      <c r="H11" s="9">
        <f t="shared" si="0"/>
        <v>10</v>
      </c>
    </row>
    <row r="12" spans="2:8" customFormat="1" ht="16.8" hidden="1" customHeight="1" thickBot="1" x14ac:dyDescent="0.35">
      <c r="B12" s="3" t="s">
        <v>7</v>
      </c>
      <c r="C12" s="3" t="s">
        <v>8</v>
      </c>
      <c r="D12" s="3">
        <v>35</v>
      </c>
      <c r="E12" s="3">
        <v>50</v>
      </c>
      <c r="F12" s="3">
        <v>80</v>
      </c>
      <c r="G12" s="6">
        <v>4</v>
      </c>
      <c r="H12" s="9">
        <f t="shared" si="0"/>
        <v>9.1428571428571423</v>
      </c>
    </row>
    <row r="13" spans="2:8" customFormat="1" ht="16.8" hidden="1" customHeight="1" thickBot="1" x14ac:dyDescent="0.35">
      <c r="B13" s="4" t="s">
        <v>21</v>
      </c>
      <c r="C13" s="4" t="s">
        <v>8</v>
      </c>
      <c r="D13" s="4">
        <v>37</v>
      </c>
      <c r="E13" s="4">
        <v>55</v>
      </c>
      <c r="F13" s="4">
        <v>83</v>
      </c>
      <c r="G13" s="7">
        <v>4</v>
      </c>
      <c r="H13" s="8">
        <f t="shared" si="0"/>
        <v>8.9729729729729737</v>
      </c>
    </row>
    <row r="14" spans="2:8" customFormat="1" ht="16.8" hidden="1" customHeight="1" thickBot="1" x14ac:dyDescent="0.35">
      <c r="B14" s="4" t="s">
        <v>17</v>
      </c>
      <c r="C14" s="4" t="s">
        <v>8</v>
      </c>
      <c r="D14" s="4">
        <v>38</v>
      </c>
      <c r="E14" s="4">
        <v>58</v>
      </c>
      <c r="F14" s="4">
        <v>85</v>
      </c>
      <c r="G14" s="7">
        <v>4</v>
      </c>
      <c r="H14" s="8">
        <f t="shared" si="0"/>
        <v>8.9473684210526319</v>
      </c>
    </row>
    <row r="15" spans="2:8" customFormat="1" ht="16.8" hidden="1" customHeight="1" thickBot="1" x14ac:dyDescent="0.35">
      <c r="B15" s="3" t="s">
        <v>30</v>
      </c>
      <c r="C15" s="3" t="s">
        <v>14</v>
      </c>
      <c r="D15" s="3">
        <v>39</v>
      </c>
      <c r="E15" s="3">
        <v>60</v>
      </c>
      <c r="F15" s="3">
        <v>87</v>
      </c>
      <c r="G15" s="6">
        <v>4</v>
      </c>
      <c r="H15" s="9">
        <f t="shared" si="0"/>
        <v>8.9230769230769234</v>
      </c>
    </row>
    <row r="16" spans="2:8" customFormat="1" ht="16.8" hidden="1" customHeight="1" thickBot="1" x14ac:dyDescent="0.35">
      <c r="B16" s="4" t="s">
        <v>25</v>
      </c>
      <c r="C16" s="4" t="s">
        <v>8</v>
      </c>
      <c r="D16" s="4">
        <v>41</v>
      </c>
      <c r="E16" s="4">
        <v>66</v>
      </c>
      <c r="F16" s="4">
        <v>89</v>
      </c>
      <c r="G16" s="7">
        <v>4</v>
      </c>
      <c r="H16" s="8">
        <f t="shared" si="0"/>
        <v>8.6829268292682933</v>
      </c>
    </row>
    <row r="17" spans="2:8" customFormat="1" ht="16.8" hidden="1" customHeight="1" thickBot="1" x14ac:dyDescent="0.35">
      <c r="B17" s="4" t="s">
        <v>31</v>
      </c>
      <c r="C17" s="4" t="s">
        <v>8</v>
      </c>
      <c r="D17" s="4">
        <v>36</v>
      </c>
      <c r="E17" s="4">
        <v>52</v>
      </c>
      <c r="F17" s="4">
        <v>78</v>
      </c>
      <c r="G17" s="7">
        <v>4</v>
      </c>
      <c r="H17" s="8">
        <f t="shared" si="0"/>
        <v>8.6666666666666661</v>
      </c>
    </row>
    <row r="18" spans="2:8" customFormat="1" ht="16.8" hidden="1" customHeight="1" thickBot="1" x14ac:dyDescent="0.35">
      <c r="B18" s="3" t="s">
        <v>22</v>
      </c>
      <c r="C18" s="3" t="s">
        <v>16</v>
      </c>
      <c r="D18" s="3">
        <v>29</v>
      </c>
      <c r="E18" s="3">
        <v>38</v>
      </c>
      <c r="F18" s="3">
        <v>68</v>
      </c>
      <c r="G18" s="6">
        <v>3</v>
      </c>
      <c r="H18" s="9">
        <f t="shared" si="0"/>
        <v>7.0344827586206895</v>
      </c>
    </row>
    <row r="19" spans="2:8" customFormat="1" ht="16.8" hidden="1" customHeight="1" thickBot="1" x14ac:dyDescent="0.35">
      <c r="B19" s="3" t="s">
        <v>11</v>
      </c>
      <c r="C19" s="3" t="s">
        <v>12</v>
      </c>
      <c r="D19" s="3">
        <v>30</v>
      </c>
      <c r="E19" s="3">
        <v>40</v>
      </c>
      <c r="F19" s="3">
        <v>70</v>
      </c>
      <c r="G19" s="6">
        <v>3</v>
      </c>
      <c r="H19" s="9">
        <f t="shared" si="0"/>
        <v>7</v>
      </c>
    </row>
    <row r="20" spans="2:8" customFormat="1" ht="16.8" hidden="1" customHeight="1" thickBot="1" x14ac:dyDescent="0.35">
      <c r="B20" s="3" t="s">
        <v>28</v>
      </c>
      <c r="C20" s="3" t="s">
        <v>12</v>
      </c>
      <c r="D20" s="3">
        <v>31</v>
      </c>
      <c r="E20" s="3">
        <v>42</v>
      </c>
      <c r="F20" s="3">
        <v>72</v>
      </c>
      <c r="G20" s="6">
        <v>3</v>
      </c>
      <c r="H20" s="9">
        <f t="shared" si="0"/>
        <v>6.967741935483871</v>
      </c>
    </row>
    <row r="21" spans="2:8" customFormat="1" ht="16.8" hidden="1" customHeight="1" thickBot="1" x14ac:dyDescent="0.35">
      <c r="B21" s="4" t="s">
        <v>19</v>
      </c>
      <c r="C21" s="4" t="s">
        <v>12</v>
      </c>
      <c r="D21" s="4">
        <v>28</v>
      </c>
      <c r="E21" s="4">
        <v>35</v>
      </c>
      <c r="F21" s="4">
        <v>65</v>
      </c>
      <c r="G21" s="7">
        <v>3</v>
      </c>
      <c r="H21" s="8">
        <f t="shared" si="0"/>
        <v>6.9642857142857144</v>
      </c>
    </row>
    <row r="22" spans="2:8" customFormat="1" ht="16.8" hidden="1" customHeight="1" thickBot="1" x14ac:dyDescent="0.35">
      <c r="B22" s="4" t="s">
        <v>33</v>
      </c>
      <c r="C22" s="4" t="s">
        <v>12</v>
      </c>
      <c r="D22" s="4">
        <v>32</v>
      </c>
      <c r="E22" s="4">
        <v>44</v>
      </c>
      <c r="F22" s="4">
        <v>74</v>
      </c>
      <c r="G22" s="7">
        <v>3</v>
      </c>
      <c r="H22" s="8">
        <f t="shared" si="0"/>
        <v>6.9375</v>
      </c>
    </row>
    <row r="23" spans="2:8" customFormat="1" ht="16.8" hidden="1" customHeight="1" thickBot="1" x14ac:dyDescent="0.35">
      <c r="B23" s="3" t="s">
        <v>24</v>
      </c>
      <c r="C23" s="3" t="s">
        <v>12</v>
      </c>
      <c r="D23" s="3">
        <v>33</v>
      </c>
      <c r="E23" s="3">
        <v>45</v>
      </c>
      <c r="F23" s="3">
        <v>75</v>
      </c>
      <c r="G23" s="6">
        <v>3</v>
      </c>
      <c r="H23" s="9">
        <f t="shared" si="0"/>
        <v>6.8181818181818183</v>
      </c>
    </row>
    <row r="24" spans="2:8" customFormat="1" ht="16.8" hidden="1" customHeight="1" thickBot="1" x14ac:dyDescent="0.35">
      <c r="B24" s="4" t="s">
        <v>35</v>
      </c>
      <c r="C24" s="4" t="s">
        <v>8</v>
      </c>
      <c r="D24" s="4">
        <v>34</v>
      </c>
      <c r="E24" s="4">
        <v>48</v>
      </c>
      <c r="F24" s="4">
        <v>76</v>
      </c>
      <c r="G24" s="7">
        <v>3</v>
      </c>
      <c r="H24" s="8">
        <f t="shared" si="0"/>
        <v>6.7058823529411766</v>
      </c>
    </row>
    <row r="25" spans="2:8" customFormat="1" ht="16.8" hidden="1" customHeight="1" thickBot="1" x14ac:dyDescent="0.35">
      <c r="B25" s="3" t="s">
        <v>15</v>
      </c>
      <c r="C25" s="3" t="s">
        <v>16</v>
      </c>
      <c r="D25" s="3">
        <v>25</v>
      </c>
      <c r="E25" s="3">
        <v>30</v>
      </c>
      <c r="F25" s="3">
        <v>60</v>
      </c>
      <c r="G25" s="6">
        <v>2</v>
      </c>
      <c r="H25" s="9">
        <f t="shared" si="0"/>
        <v>4.8</v>
      </c>
    </row>
    <row r="26" spans="2:8" customFormat="1" ht="16.8" hidden="1" customHeight="1" thickBot="1" x14ac:dyDescent="0.35">
      <c r="B26" s="4" t="s">
        <v>27</v>
      </c>
      <c r="C26" s="4" t="s">
        <v>16</v>
      </c>
      <c r="D26" s="4">
        <v>26</v>
      </c>
      <c r="E26" s="4">
        <v>32</v>
      </c>
      <c r="F26" s="4">
        <v>62</v>
      </c>
      <c r="G26" s="7">
        <v>2</v>
      </c>
      <c r="H26" s="8">
        <f t="shared" si="0"/>
        <v>4.7692307692307692</v>
      </c>
    </row>
    <row r="27" spans="2:8" customFormat="1" ht="16.8" hidden="1" customHeight="1" thickBot="1" x14ac:dyDescent="0.35">
      <c r="B27" s="3" t="s">
        <v>32</v>
      </c>
      <c r="C27" s="3" t="s">
        <v>16</v>
      </c>
      <c r="D27" s="3">
        <v>27</v>
      </c>
      <c r="E27" s="3">
        <v>34</v>
      </c>
      <c r="F27" s="3">
        <v>64</v>
      </c>
      <c r="G27" s="6">
        <v>2</v>
      </c>
      <c r="H27" s="10">
        <f t="shared" si="0"/>
        <v>4.7407407407407405</v>
      </c>
    </row>
  </sheetData>
  <autoFilter ref="H2:H27" xr:uid="{43D5B25A-8D4D-4B64-B324-AAD1AA94CFC9}">
    <filterColumn colId="0">
      <top10 val="3" filterVal="10.813953488372093"/>
    </filterColumn>
  </autoFilter>
  <sortState xmlns:xlrd2="http://schemas.microsoft.com/office/spreadsheetml/2017/richdata2" ref="B3:H27">
    <sortCondition descending="1" ref="H3:H27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D498-2F3E-4EFE-87D3-FD565E080560}">
  <dimension ref="A1:J28"/>
  <sheetViews>
    <sheetView topLeftCell="A15" workbookViewId="0">
      <selection activeCell="I21" sqref="I21"/>
    </sheetView>
  </sheetViews>
  <sheetFormatPr defaultRowHeight="14.4" x14ac:dyDescent="0.3"/>
  <cols>
    <col min="1" max="5" width="17.5546875" customWidth="1"/>
    <col min="6" max="6" width="18.44140625" customWidth="1"/>
    <col min="9" max="9" width="61.77734375" customWidth="1"/>
  </cols>
  <sheetData>
    <row r="1" spans="1:10" ht="21.6" thickBot="1" x14ac:dyDescent="0.45">
      <c r="A1" s="14" t="s">
        <v>46</v>
      </c>
    </row>
    <row r="2" spans="1:10" ht="15" thickBo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</row>
    <row r="3" spans="1:10" ht="18.600000000000001" thickBot="1" x14ac:dyDescent="0.4">
      <c r="A3" s="3" t="s">
        <v>7</v>
      </c>
      <c r="B3" s="3" t="s">
        <v>8</v>
      </c>
      <c r="C3" s="3">
        <v>35</v>
      </c>
      <c r="D3" s="3">
        <v>50</v>
      </c>
      <c r="E3" s="3">
        <v>80</v>
      </c>
      <c r="F3" s="3">
        <v>4</v>
      </c>
      <c r="I3" s="11" t="s">
        <v>48</v>
      </c>
      <c r="J3" s="12">
        <f>CORREL(C3:C27,F3:F27)</f>
        <v>0.94623485838187704</v>
      </c>
    </row>
    <row r="4" spans="1:10" ht="16.2" customHeight="1" thickBot="1" x14ac:dyDescent="0.4">
      <c r="A4" s="4" t="s">
        <v>9</v>
      </c>
      <c r="B4" s="4" t="s">
        <v>10</v>
      </c>
      <c r="C4" s="4">
        <v>40</v>
      </c>
      <c r="D4" s="4">
        <v>65</v>
      </c>
      <c r="E4" s="4">
        <v>90</v>
      </c>
      <c r="F4" s="4">
        <v>5</v>
      </c>
      <c r="I4" s="11" t="s">
        <v>47</v>
      </c>
      <c r="J4" s="12">
        <f>CORREL(D3:D27,F3:F27)</f>
        <v>0.95745537036476214</v>
      </c>
    </row>
    <row r="5" spans="1:10" ht="16.2" customHeight="1" thickBot="1" x14ac:dyDescent="0.35">
      <c r="A5" s="3" t="s">
        <v>11</v>
      </c>
      <c r="B5" s="3" t="s">
        <v>12</v>
      </c>
      <c r="C5" s="3">
        <v>30</v>
      </c>
      <c r="D5" s="3">
        <v>40</v>
      </c>
      <c r="E5" s="3">
        <v>70</v>
      </c>
      <c r="F5" s="3">
        <v>3</v>
      </c>
    </row>
    <row r="6" spans="1:10" ht="16.2" customHeight="1" thickBot="1" x14ac:dyDescent="0.35">
      <c r="A6" s="4" t="s">
        <v>13</v>
      </c>
      <c r="B6" s="4" t="s">
        <v>14</v>
      </c>
      <c r="C6" s="4">
        <v>45</v>
      </c>
      <c r="D6" s="4">
        <v>75</v>
      </c>
      <c r="E6" s="4">
        <v>95</v>
      </c>
      <c r="F6" s="4">
        <v>5</v>
      </c>
    </row>
    <row r="7" spans="1:10" ht="16.2" customHeight="1" thickBot="1" x14ac:dyDescent="0.35">
      <c r="A7" s="3" t="s">
        <v>15</v>
      </c>
      <c r="B7" s="3" t="s">
        <v>16</v>
      </c>
      <c r="C7" s="3">
        <v>25</v>
      </c>
      <c r="D7" s="3">
        <v>30</v>
      </c>
      <c r="E7" s="3">
        <v>60</v>
      </c>
      <c r="F7" s="3">
        <v>2</v>
      </c>
    </row>
    <row r="8" spans="1:10" ht="16.2" customHeight="1" thickBot="1" x14ac:dyDescent="0.35">
      <c r="A8" s="4" t="s">
        <v>17</v>
      </c>
      <c r="B8" s="4" t="s">
        <v>8</v>
      </c>
      <c r="C8" s="4">
        <v>38</v>
      </c>
      <c r="D8" s="4">
        <v>58</v>
      </c>
      <c r="E8" s="4">
        <v>85</v>
      </c>
      <c r="F8" s="4">
        <v>4</v>
      </c>
    </row>
    <row r="9" spans="1:10" ht="16.2" customHeight="1" thickBot="1" x14ac:dyDescent="0.35">
      <c r="A9" s="3" t="s">
        <v>18</v>
      </c>
      <c r="B9" s="3" t="s">
        <v>14</v>
      </c>
      <c r="C9" s="3">
        <v>50</v>
      </c>
      <c r="D9" s="3">
        <v>80</v>
      </c>
      <c r="E9" s="3">
        <v>100</v>
      </c>
      <c r="F9" s="3">
        <v>5</v>
      </c>
    </row>
    <row r="10" spans="1:10" ht="16.2" customHeight="1" thickBot="1" x14ac:dyDescent="0.35">
      <c r="A10" s="4" t="s">
        <v>19</v>
      </c>
      <c r="B10" s="4" t="s">
        <v>12</v>
      </c>
      <c r="C10" s="4">
        <v>28</v>
      </c>
      <c r="D10" s="4">
        <v>35</v>
      </c>
      <c r="E10" s="4">
        <v>65</v>
      </c>
      <c r="F10" s="4">
        <v>3</v>
      </c>
    </row>
    <row r="11" spans="1:10" ht="16.2" customHeight="1" thickBot="1" x14ac:dyDescent="0.35">
      <c r="A11" s="3" t="s">
        <v>20</v>
      </c>
      <c r="B11" s="3" t="s">
        <v>10</v>
      </c>
      <c r="C11" s="3">
        <v>42</v>
      </c>
      <c r="D11" s="3">
        <v>70</v>
      </c>
      <c r="E11" s="3">
        <v>92</v>
      </c>
      <c r="F11" s="3">
        <v>5</v>
      </c>
    </row>
    <row r="12" spans="1:10" ht="16.2" customHeight="1" thickBot="1" x14ac:dyDescent="0.35">
      <c r="A12" s="4" t="s">
        <v>21</v>
      </c>
      <c r="B12" s="4" t="s">
        <v>8</v>
      </c>
      <c r="C12" s="4">
        <v>37</v>
      </c>
      <c r="D12" s="4">
        <v>55</v>
      </c>
      <c r="E12" s="4">
        <v>83</v>
      </c>
      <c r="F12" s="4">
        <v>4</v>
      </c>
    </row>
    <row r="13" spans="1:10" ht="16.2" customHeight="1" thickBot="1" x14ac:dyDescent="0.35">
      <c r="A13" s="3" t="s">
        <v>22</v>
      </c>
      <c r="B13" s="3" t="s">
        <v>16</v>
      </c>
      <c r="C13" s="3">
        <v>29</v>
      </c>
      <c r="D13" s="3">
        <v>38</v>
      </c>
      <c r="E13" s="3">
        <v>68</v>
      </c>
      <c r="F13" s="3">
        <v>3</v>
      </c>
    </row>
    <row r="14" spans="1:10" ht="16.2" customHeight="1" thickBot="1" x14ac:dyDescent="0.35">
      <c r="A14" s="4" t="s">
        <v>23</v>
      </c>
      <c r="B14" s="4" t="s">
        <v>10</v>
      </c>
      <c r="C14" s="4">
        <v>44</v>
      </c>
      <c r="D14" s="4">
        <v>73</v>
      </c>
      <c r="E14" s="4">
        <v>94</v>
      </c>
      <c r="F14" s="4">
        <v>5</v>
      </c>
    </row>
    <row r="15" spans="1:10" ht="16.2" customHeight="1" thickBot="1" x14ac:dyDescent="0.35">
      <c r="A15" s="3" t="s">
        <v>24</v>
      </c>
      <c r="B15" s="3" t="s">
        <v>12</v>
      </c>
      <c r="C15" s="3">
        <v>33</v>
      </c>
      <c r="D15" s="3">
        <v>45</v>
      </c>
      <c r="E15" s="3">
        <v>75</v>
      </c>
      <c r="F15" s="3">
        <v>3</v>
      </c>
    </row>
    <row r="16" spans="1:10" ht="16.2" customHeight="1" thickBot="1" x14ac:dyDescent="0.35">
      <c r="A16" s="4" t="s">
        <v>25</v>
      </c>
      <c r="B16" s="4" t="s">
        <v>8</v>
      </c>
      <c r="C16" s="4">
        <v>41</v>
      </c>
      <c r="D16" s="4">
        <v>66</v>
      </c>
      <c r="E16" s="4">
        <v>89</v>
      </c>
      <c r="F16" s="4">
        <v>4</v>
      </c>
    </row>
    <row r="17" spans="1:9" ht="16.2" customHeight="1" thickBot="1" x14ac:dyDescent="0.35">
      <c r="A17" s="3" t="s">
        <v>26</v>
      </c>
      <c r="B17" s="3" t="s">
        <v>14</v>
      </c>
      <c r="C17" s="3">
        <v>48</v>
      </c>
      <c r="D17" s="3">
        <v>78</v>
      </c>
      <c r="E17" s="3">
        <v>98</v>
      </c>
      <c r="F17" s="3">
        <v>5</v>
      </c>
    </row>
    <row r="18" spans="1:9" ht="16.2" customHeight="1" thickBot="1" x14ac:dyDescent="0.35">
      <c r="A18" s="4" t="s">
        <v>27</v>
      </c>
      <c r="B18" s="4" t="s">
        <v>16</v>
      </c>
      <c r="C18" s="4">
        <v>26</v>
      </c>
      <c r="D18" s="4">
        <v>32</v>
      </c>
      <c r="E18" s="4">
        <v>62</v>
      </c>
      <c r="F18" s="4">
        <v>2</v>
      </c>
    </row>
    <row r="19" spans="1:9" ht="16.2" customHeight="1" thickBot="1" x14ac:dyDescent="0.35">
      <c r="A19" s="3" t="s">
        <v>28</v>
      </c>
      <c r="B19" s="3" t="s">
        <v>12</v>
      </c>
      <c r="C19" s="3">
        <v>31</v>
      </c>
      <c r="D19" s="3">
        <v>42</v>
      </c>
      <c r="E19" s="3">
        <v>72</v>
      </c>
      <c r="F19" s="3">
        <v>3</v>
      </c>
    </row>
    <row r="20" spans="1:9" ht="16.2" customHeight="1" thickBot="1" x14ac:dyDescent="0.35">
      <c r="A20" s="4" t="s">
        <v>29</v>
      </c>
      <c r="B20" s="4" t="s">
        <v>10</v>
      </c>
      <c r="C20" s="4">
        <v>43</v>
      </c>
      <c r="D20" s="4">
        <v>75</v>
      </c>
      <c r="E20" s="4">
        <v>93</v>
      </c>
      <c r="F20" s="4">
        <v>5</v>
      </c>
    </row>
    <row r="21" spans="1:9" ht="16.2" customHeight="1" thickBot="1" x14ac:dyDescent="0.35">
      <c r="A21" s="3" t="s">
        <v>30</v>
      </c>
      <c r="B21" s="3" t="s">
        <v>14</v>
      </c>
      <c r="C21" s="3">
        <v>39</v>
      </c>
      <c r="D21" s="3">
        <v>60</v>
      </c>
      <c r="E21" s="3">
        <v>87</v>
      </c>
      <c r="F21" s="3">
        <v>4</v>
      </c>
      <c r="I21" s="13" t="s">
        <v>49</v>
      </c>
    </row>
    <row r="22" spans="1:9" ht="16.2" customHeight="1" thickBot="1" x14ac:dyDescent="0.35">
      <c r="A22" s="4" t="s">
        <v>31</v>
      </c>
      <c r="B22" s="4" t="s">
        <v>8</v>
      </c>
      <c r="C22" s="4">
        <v>36</v>
      </c>
      <c r="D22" s="4">
        <v>52</v>
      </c>
      <c r="E22" s="4">
        <v>78</v>
      </c>
      <c r="F22" s="4">
        <v>4</v>
      </c>
    </row>
    <row r="23" spans="1:9" ht="16.2" customHeight="1" thickBot="1" x14ac:dyDescent="0.35">
      <c r="A23" s="3" t="s">
        <v>32</v>
      </c>
      <c r="B23" s="3" t="s">
        <v>16</v>
      </c>
      <c r="C23" s="3">
        <v>27</v>
      </c>
      <c r="D23" s="3">
        <v>34</v>
      </c>
      <c r="E23" s="3">
        <v>64</v>
      </c>
      <c r="F23" s="3">
        <v>2</v>
      </c>
    </row>
    <row r="24" spans="1:9" ht="16.2" customHeight="1" thickBot="1" x14ac:dyDescent="0.35">
      <c r="A24" s="4" t="s">
        <v>33</v>
      </c>
      <c r="B24" s="4" t="s">
        <v>12</v>
      </c>
      <c r="C24" s="4">
        <v>32</v>
      </c>
      <c r="D24" s="4">
        <v>44</v>
      </c>
      <c r="E24" s="4">
        <v>74</v>
      </c>
      <c r="F24" s="4">
        <v>3</v>
      </c>
    </row>
    <row r="25" spans="1:9" ht="16.2" customHeight="1" thickBot="1" x14ac:dyDescent="0.35">
      <c r="A25" s="3" t="s">
        <v>34</v>
      </c>
      <c r="B25" s="3" t="s">
        <v>10</v>
      </c>
      <c r="C25" s="3">
        <v>46</v>
      </c>
      <c r="D25" s="3">
        <v>77</v>
      </c>
      <c r="E25" s="3">
        <v>96</v>
      </c>
      <c r="F25" s="3">
        <v>5</v>
      </c>
    </row>
    <row r="26" spans="1:9" ht="16.2" customHeight="1" thickBot="1" x14ac:dyDescent="0.35">
      <c r="A26" s="4" t="s">
        <v>35</v>
      </c>
      <c r="B26" s="4" t="s">
        <v>8</v>
      </c>
      <c r="C26" s="4">
        <v>34</v>
      </c>
      <c r="D26" s="4">
        <v>48</v>
      </c>
      <c r="E26" s="4">
        <v>76</v>
      </c>
      <c r="F26" s="4">
        <v>3</v>
      </c>
    </row>
    <row r="27" spans="1:9" ht="16.2" customHeight="1" thickBot="1" x14ac:dyDescent="0.35">
      <c r="A27" s="3" t="s">
        <v>36</v>
      </c>
      <c r="B27" s="3" t="s">
        <v>14</v>
      </c>
      <c r="C27" s="3">
        <v>47</v>
      </c>
      <c r="D27" s="3">
        <v>79</v>
      </c>
      <c r="E27" s="3">
        <v>99</v>
      </c>
      <c r="F27" s="3">
        <v>5</v>
      </c>
    </row>
    <row r="28" spans="1:9" ht="16.2" customHeight="1" x14ac:dyDescent="0.3"/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71CA-95A8-4B35-9096-010865776535}">
  <dimension ref="A1:F2"/>
  <sheetViews>
    <sheetView zoomScale="99" workbookViewId="0">
      <selection activeCell="D3" sqref="D3"/>
    </sheetView>
  </sheetViews>
  <sheetFormatPr defaultRowHeight="14.4" x14ac:dyDescent="0.3"/>
  <cols>
    <col min="1" max="1" width="11.44140625" customWidth="1"/>
    <col min="6" max="6" width="82.21875" customWidth="1"/>
    <col min="16" max="16" width="64.6640625" customWidth="1"/>
  </cols>
  <sheetData>
    <row r="1" spans="1:6" ht="21" x14ac:dyDescent="0.4">
      <c r="A1" s="14" t="s">
        <v>50</v>
      </c>
    </row>
    <row r="2" spans="1:6" ht="18" x14ac:dyDescent="0.35">
      <c r="F2" s="38" t="s">
        <v>51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ABEA-ED8E-4DFB-950A-43C66BAB330F}">
  <sheetPr filterMode="1"/>
  <dimension ref="A1:G27"/>
  <sheetViews>
    <sheetView workbookViewId="0">
      <selection activeCell="G28" sqref="G28"/>
    </sheetView>
  </sheetViews>
  <sheetFormatPr defaultRowHeight="17.399999999999999" x14ac:dyDescent="0.35"/>
  <cols>
    <col min="1" max="1" width="11.77734375" style="16" customWidth="1"/>
    <col min="2" max="2" width="20" style="16" customWidth="1"/>
    <col min="3" max="3" width="22.88671875" style="16" customWidth="1"/>
    <col min="4" max="5" width="8.88671875" style="16"/>
    <col min="6" max="6" width="26.109375" style="16" customWidth="1"/>
    <col min="7" max="16384" width="8.88671875" style="16"/>
  </cols>
  <sheetData>
    <row r="1" spans="1:7" ht="18" thickBot="1" x14ac:dyDescent="0.4">
      <c r="A1" s="15" t="s">
        <v>52</v>
      </c>
    </row>
    <row r="2" spans="1:7" ht="24" customHeight="1" thickBot="1" x14ac:dyDescent="0.4">
      <c r="B2" s="17" t="s">
        <v>3</v>
      </c>
      <c r="C2" s="18" t="s">
        <v>6</v>
      </c>
    </row>
    <row r="3" spans="1:7" ht="18.600000000000001" customHeight="1" thickBot="1" x14ac:dyDescent="0.4">
      <c r="B3" s="19">
        <v>25</v>
      </c>
      <c r="C3" s="19">
        <v>2</v>
      </c>
      <c r="F3" s="39" t="s">
        <v>53</v>
      </c>
      <c r="G3" s="40">
        <f>AVERAGE(B3:B27)</f>
        <v>37.04</v>
      </c>
    </row>
    <row r="4" spans="1:7" ht="18.600000000000001" customHeight="1" thickBot="1" x14ac:dyDescent="0.4">
      <c r="B4" s="25">
        <v>26</v>
      </c>
      <c r="C4" s="25">
        <v>2</v>
      </c>
    </row>
    <row r="5" spans="1:7" ht="18.600000000000001" customHeight="1" thickBot="1" x14ac:dyDescent="0.4">
      <c r="B5" s="19">
        <v>27</v>
      </c>
      <c r="C5" s="19">
        <v>2</v>
      </c>
    </row>
    <row r="6" spans="1:7" ht="18.600000000000001" customHeight="1" thickBot="1" x14ac:dyDescent="0.4">
      <c r="B6" s="19">
        <v>30</v>
      </c>
      <c r="C6" s="19">
        <v>3</v>
      </c>
    </row>
    <row r="7" spans="1:7" ht="18.600000000000001" customHeight="1" thickBot="1" x14ac:dyDescent="0.4">
      <c r="B7" s="25">
        <v>28</v>
      </c>
      <c r="C7" s="25">
        <v>3</v>
      </c>
    </row>
    <row r="8" spans="1:7" ht="18.600000000000001" customHeight="1" thickBot="1" x14ac:dyDescent="0.4">
      <c r="B8" s="19">
        <v>29</v>
      </c>
      <c r="C8" s="19">
        <v>3</v>
      </c>
    </row>
    <row r="9" spans="1:7" ht="18.600000000000001" customHeight="1" thickBot="1" x14ac:dyDescent="0.4">
      <c r="B9" s="19">
        <v>33</v>
      </c>
      <c r="C9" s="19">
        <v>3</v>
      </c>
    </row>
    <row r="10" spans="1:7" ht="18.600000000000001" customHeight="1" thickBot="1" x14ac:dyDescent="0.4">
      <c r="B10" s="19">
        <v>31</v>
      </c>
      <c r="C10" s="19">
        <v>3</v>
      </c>
    </row>
    <row r="11" spans="1:7" ht="18.600000000000001" customHeight="1" thickBot="1" x14ac:dyDescent="0.4">
      <c r="B11" s="25">
        <v>32</v>
      </c>
      <c r="C11" s="25">
        <v>3</v>
      </c>
    </row>
    <row r="12" spans="1:7" ht="18.600000000000001" customHeight="1" thickBot="1" x14ac:dyDescent="0.4">
      <c r="B12" s="25">
        <v>34</v>
      </c>
      <c r="C12" s="25">
        <v>3</v>
      </c>
    </row>
    <row r="13" spans="1:7" customFormat="1" ht="18.600000000000001" hidden="1" customHeight="1" thickBot="1" x14ac:dyDescent="0.35">
      <c r="B13" s="3">
        <v>35</v>
      </c>
      <c r="C13" s="3">
        <v>4</v>
      </c>
    </row>
    <row r="14" spans="1:7" customFormat="1" ht="18.600000000000001" hidden="1" customHeight="1" thickBot="1" x14ac:dyDescent="0.35">
      <c r="B14" s="4">
        <v>38</v>
      </c>
      <c r="C14" s="4">
        <v>4</v>
      </c>
    </row>
    <row r="15" spans="1:7" customFormat="1" ht="18.600000000000001" hidden="1" customHeight="1" thickBot="1" x14ac:dyDescent="0.35">
      <c r="B15" s="4">
        <v>37</v>
      </c>
      <c r="C15" s="4">
        <v>4</v>
      </c>
    </row>
    <row r="16" spans="1:7" customFormat="1" ht="18.600000000000001" hidden="1" customHeight="1" thickBot="1" x14ac:dyDescent="0.35">
      <c r="B16" s="4">
        <v>41</v>
      </c>
      <c r="C16" s="4">
        <v>4</v>
      </c>
    </row>
    <row r="17" spans="2:3" customFormat="1" ht="18.600000000000001" hidden="1" customHeight="1" thickBot="1" x14ac:dyDescent="0.35">
      <c r="B17" s="3">
        <v>39</v>
      </c>
      <c r="C17" s="3">
        <v>4</v>
      </c>
    </row>
    <row r="18" spans="2:3" customFormat="1" ht="18.600000000000001" hidden="1" customHeight="1" thickBot="1" x14ac:dyDescent="0.35">
      <c r="B18" s="4">
        <v>36</v>
      </c>
      <c r="C18" s="4">
        <v>4</v>
      </c>
    </row>
    <row r="19" spans="2:3" customFormat="1" ht="18.600000000000001" hidden="1" customHeight="1" thickBot="1" x14ac:dyDescent="0.35">
      <c r="B19" s="4">
        <v>40</v>
      </c>
      <c r="C19" s="4">
        <v>5</v>
      </c>
    </row>
    <row r="20" spans="2:3" customFormat="1" ht="18.600000000000001" hidden="1" customHeight="1" thickBot="1" x14ac:dyDescent="0.35">
      <c r="B20" s="4">
        <v>45</v>
      </c>
      <c r="C20" s="4">
        <v>5</v>
      </c>
    </row>
    <row r="21" spans="2:3" customFormat="1" ht="18.600000000000001" hidden="1" customHeight="1" thickBot="1" x14ac:dyDescent="0.35">
      <c r="B21" s="3">
        <v>50</v>
      </c>
      <c r="C21" s="3">
        <v>5</v>
      </c>
    </row>
    <row r="22" spans="2:3" customFormat="1" ht="18.600000000000001" hidden="1" customHeight="1" thickBot="1" x14ac:dyDescent="0.35">
      <c r="B22" s="3">
        <v>42</v>
      </c>
      <c r="C22" s="3">
        <v>5</v>
      </c>
    </row>
    <row r="23" spans="2:3" customFormat="1" ht="18.600000000000001" hidden="1" customHeight="1" thickBot="1" x14ac:dyDescent="0.35">
      <c r="B23" s="4">
        <v>44</v>
      </c>
      <c r="C23" s="4">
        <v>5</v>
      </c>
    </row>
    <row r="24" spans="2:3" customFormat="1" ht="18.600000000000001" hidden="1" customHeight="1" thickBot="1" x14ac:dyDescent="0.35">
      <c r="B24" s="3">
        <v>48</v>
      </c>
      <c r="C24" s="3">
        <v>5</v>
      </c>
    </row>
    <row r="25" spans="2:3" customFormat="1" ht="18.600000000000001" hidden="1" customHeight="1" thickBot="1" x14ac:dyDescent="0.35">
      <c r="B25" s="4">
        <v>43</v>
      </c>
      <c r="C25" s="4">
        <v>5</v>
      </c>
    </row>
    <row r="26" spans="2:3" customFormat="1" ht="18.600000000000001" hidden="1" customHeight="1" thickBot="1" x14ac:dyDescent="0.35">
      <c r="B26" s="3">
        <v>46</v>
      </c>
      <c r="C26" s="3">
        <v>5</v>
      </c>
    </row>
    <row r="27" spans="2:3" customFormat="1" ht="18.600000000000001" hidden="1" customHeight="1" thickBot="1" x14ac:dyDescent="0.35">
      <c r="B27" s="3">
        <v>47</v>
      </c>
      <c r="C27" s="3">
        <v>5</v>
      </c>
    </row>
  </sheetData>
  <autoFilter ref="B2:C27" xr:uid="{1D99ABEA-ED8E-4DFB-950A-43C66BAB330F}">
    <filterColumn colId="0">
      <dynamicFilter type="belowAverage" val="37.04"/>
    </filterColumn>
    <filterColumn colId="1">
      <filters>
        <filter val="2"/>
        <filter val="3"/>
      </filters>
    </filterColumn>
  </autoFilter>
  <sortState xmlns:xlrd2="http://schemas.microsoft.com/office/spreadsheetml/2017/richdata2" ref="A3:C27">
    <sortCondition ref="C2:C27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0BD5-5BCC-4727-AA5D-BC5BCFC7EB17}">
  <dimension ref="A1:L28"/>
  <sheetViews>
    <sheetView zoomScale="81" workbookViewId="0">
      <selection activeCell="B12" sqref="B12"/>
    </sheetView>
  </sheetViews>
  <sheetFormatPr defaultRowHeight="17.399999999999999" x14ac:dyDescent="0.35"/>
  <cols>
    <col min="1" max="1" width="11.88671875" style="16" customWidth="1"/>
    <col min="2" max="9" width="21.77734375" style="16" customWidth="1"/>
    <col min="10" max="10" width="8.88671875" style="16"/>
    <col min="11" max="11" width="28.109375" style="16" bestFit="1" customWidth="1"/>
    <col min="12" max="12" width="21.44140625" style="16" customWidth="1"/>
    <col min="13" max="16384" width="8.88671875" style="16"/>
  </cols>
  <sheetData>
    <row r="1" spans="1:12" x14ac:dyDescent="0.35">
      <c r="A1" s="16" t="s">
        <v>54</v>
      </c>
    </row>
    <row r="3" spans="1:12" ht="33" customHeight="1" thickBot="1" x14ac:dyDescent="0.4">
      <c r="B3" s="47" t="s">
        <v>0</v>
      </c>
      <c r="C3" s="41" t="s">
        <v>1</v>
      </c>
      <c r="D3" s="41" t="s">
        <v>2</v>
      </c>
      <c r="E3" s="41" t="s">
        <v>3</v>
      </c>
      <c r="F3" s="41" t="s">
        <v>4</v>
      </c>
      <c r="G3" s="41" t="s">
        <v>5</v>
      </c>
      <c r="H3" s="42" t="s">
        <v>6</v>
      </c>
      <c r="I3" s="42" t="s">
        <v>55</v>
      </c>
    </row>
    <row r="4" spans="1:12" ht="19.8" customHeight="1" thickBot="1" x14ac:dyDescent="0.4">
      <c r="B4" s="43">
        <v>101</v>
      </c>
      <c r="C4" s="19" t="s">
        <v>7</v>
      </c>
      <c r="D4" s="19" t="s">
        <v>8</v>
      </c>
      <c r="E4" s="19">
        <v>35</v>
      </c>
      <c r="F4" s="19">
        <v>50</v>
      </c>
      <c r="G4" s="19">
        <v>80</v>
      </c>
      <c r="H4" s="19">
        <v>4</v>
      </c>
      <c r="I4" s="48">
        <f t="shared" ref="I4:I28" si="0">F4/E4</f>
        <v>1.4285714285714286</v>
      </c>
      <c r="K4" s="51" t="s">
        <v>56</v>
      </c>
      <c r="L4" s="53" t="s">
        <v>55</v>
      </c>
    </row>
    <row r="5" spans="1:12" ht="19.8" customHeight="1" thickBot="1" x14ac:dyDescent="0.4">
      <c r="B5" s="44">
        <v>102</v>
      </c>
      <c r="C5" s="25" t="s">
        <v>9</v>
      </c>
      <c r="D5" s="25" t="s">
        <v>10</v>
      </c>
      <c r="E5" s="25">
        <v>40</v>
      </c>
      <c r="F5" s="25">
        <v>65</v>
      </c>
      <c r="G5" s="25">
        <v>90</v>
      </c>
      <c r="H5" s="25">
        <v>5</v>
      </c>
      <c r="I5" s="49">
        <f t="shared" si="0"/>
        <v>1.625</v>
      </c>
      <c r="K5" s="52" t="str">
        <f>_xlfn.XLOOKUP(L5,I4:I28,C4:C28)</f>
        <v>Arjun</v>
      </c>
      <c r="L5" s="54">
        <f>MAX(Table25[Tasks_Per_Hour])</f>
        <v>1.7441860465116279</v>
      </c>
    </row>
    <row r="6" spans="1:12" ht="19.8" customHeight="1" thickBot="1" x14ac:dyDescent="0.4">
      <c r="B6" s="43">
        <v>103</v>
      </c>
      <c r="C6" s="19" t="s">
        <v>11</v>
      </c>
      <c r="D6" s="19" t="s">
        <v>12</v>
      </c>
      <c r="E6" s="19">
        <v>30</v>
      </c>
      <c r="F6" s="19">
        <v>40</v>
      </c>
      <c r="G6" s="19">
        <v>70</v>
      </c>
      <c r="H6" s="19">
        <v>3</v>
      </c>
      <c r="I6" s="48">
        <f t="shared" si="0"/>
        <v>1.3333333333333333</v>
      </c>
    </row>
    <row r="7" spans="1:12" ht="19.8" customHeight="1" thickBot="1" x14ac:dyDescent="0.4">
      <c r="B7" s="44">
        <v>104</v>
      </c>
      <c r="C7" s="25" t="s">
        <v>13</v>
      </c>
      <c r="D7" s="25" t="s">
        <v>14</v>
      </c>
      <c r="E7" s="25">
        <v>45</v>
      </c>
      <c r="F7" s="25">
        <v>75</v>
      </c>
      <c r="G7" s="25">
        <v>95</v>
      </c>
      <c r="H7" s="25">
        <v>5</v>
      </c>
      <c r="I7" s="49">
        <f t="shared" si="0"/>
        <v>1.6666666666666667</v>
      </c>
    </row>
    <row r="8" spans="1:12" ht="19.8" customHeight="1" thickBot="1" x14ac:dyDescent="0.4">
      <c r="B8" s="43">
        <v>105</v>
      </c>
      <c r="C8" s="19" t="s">
        <v>15</v>
      </c>
      <c r="D8" s="19" t="s">
        <v>16</v>
      </c>
      <c r="E8" s="19">
        <v>25</v>
      </c>
      <c r="F8" s="19">
        <v>30</v>
      </c>
      <c r="G8" s="19">
        <v>60</v>
      </c>
      <c r="H8" s="19">
        <v>2</v>
      </c>
      <c r="I8" s="48">
        <f t="shared" si="0"/>
        <v>1.2</v>
      </c>
    </row>
    <row r="9" spans="1:12" ht="19.8" customHeight="1" thickBot="1" x14ac:dyDescent="0.4">
      <c r="B9" s="44">
        <v>106</v>
      </c>
      <c r="C9" s="25" t="s">
        <v>17</v>
      </c>
      <c r="D9" s="25" t="s">
        <v>8</v>
      </c>
      <c r="E9" s="25">
        <v>38</v>
      </c>
      <c r="F9" s="25">
        <v>58</v>
      </c>
      <c r="G9" s="25">
        <v>85</v>
      </c>
      <c r="H9" s="25">
        <v>4</v>
      </c>
      <c r="I9" s="49">
        <f t="shared" si="0"/>
        <v>1.5263157894736843</v>
      </c>
    </row>
    <row r="10" spans="1:12" ht="19.8" customHeight="1" thickBot="1" x14ac:dyDescent="0.4">
      <c r="B10" s="43">
        <v>107</v>
      </c>
      <c r="C10" s="19" t="s">
        <v>18</v>
      </c>
      <c r="D10" s="19" t="s">
        <v>14</v>
      </c>
      <c r="E10" s="19">
        <v>50</v>
      </c>
      <c r="F10" s="19">
        <v>80</v>
      </c>
      <c r="G10" s="19">
        <v>100</v>
      </c>
      <c r="H10" s="19">
        <v>5</v>
      </c>
      <c r="I10" s="48">
        <f t="shared" si="0"/>
        <v>1.6</v>
      </c>
    </row>
    <row r="11" spans="1:12" ht="19.8" customHeight="1" thickBot="1" x14ac:dyDescent="0.4">
      <c r="B11" s="44">
        <v>108</v>
      </c>
      <c r="C11" s="25" t="s">
        <v>19</v>
      </c>
      <c r="D11" s="25" t="s">
        <v>12</v>
      </c>
      <c r="E11" s="25">
        <v>28</v>
      </c>
      <c r="F11" s="25">
        <v>35</v>
      </c>
      <c r="G11" s="25">
        <v>65</v>
      </c>
      <c r="H11" s="25">
        <v>3</v>
      </c>
      <c r="I11" s="49">
        <f t="shared" si="0"/>
        <v>1.25</v>
      </c>
    </row>
    <row r="12" spans="1:12" ht="19.8" customHeight="1" thickBot="1" x14ac:dyDescent="0.4">
      <c r="B12" s="43">
        <v>109</v>
      </c>
      <c r="C12" s="19" t="s">
        <v>20</v>
      </c>
      <c r="D12" s="19" t="s">
        <v>10</v>
      </c>
      <c r="E12" s="19">
        <v>42</v>
      </c>
      <c r="F12" s="19">
        <v>70</v>
      </c>
      <c r="G12" s="19">
        <v>92</v>
      </c>
      <c r="H12" s="19">
        <v>5</v>
      </c>
      <c r="I12" s="48">
        <f t="shared" si="0"/>
        <v>1.6666666666666667</v>
      </c>
    </row>
    <row r="13" spans="1:12" ht="19.8" customHeight="1" thickBot="1" x14ac:dyDescent="0.4">
      <c r="B13" s="44">
        <v>110</v>
      </c>
      <c r="C13" s="25" t="s">
        <v>21</v>
      </c>
      <c r="D13" s="25" t="s">
        <v>8</v>
      </c>
      <c r="E13" s="25">
        <v>37</v>
      </c>
      <c r="F13" s="25">
        <v>55</v>
      </c>
      <c r="G13" s="25">
        <v>83</v>
      </c>
      <c r="H13" s="25">
        <v>4</v>
      </c>
      <c r="I13" s="49">
        <f t="shared" si="0"/>
        <v>1.4864864864864864</v>
      </c>
    </row>
    <row r="14" spans="1:12" ht="19.8" customHeight="1" thickBot="1" x14ac:dyDescent="0.4">
      <c r="B14" s="43">
        <v>111</v>
      </c>
      <c r="C14" s="19" t="s">
        <v>22</v>
      </c>
      <c r="D14" s="19" t="s">
        <v>16</v>
      </c>
      <c r="E14" s="19">
        <v>29</v>
      </c>
      <c r="F14" s="19">
        <v>38</v>
      </c>
      <c r="G14" s="19">
        <v>68</v>
      </c>
      <c r="H14" s="19">
        <v>3</v>
      </c>
      <c r="I14" s="48">
        <f t="shared" si="0"/>
        <v>1.3103448275862069</v>
      </c>
    </row>
    <row r="15" spans="1:12" ht="19.8" customHeight="1" thickBot="1" x14ac:dyDescent="0.4">
      <c r="B15" s="44">
        <v>112</v>
      </c>
      <c r="C15" s="25" t="s">
        <v>23</v>
      </c>
      <c r="D15" s="25" t="s">
        <v>10</v>
      </c>
      <c r="E15" s="25">
        <v>44</v>
      </c>
      <c r="F15" s="25">
        <v>73</v>
      </c>
      <c r="G15" s="25">
        <v>94</v>
      </c>
      <c r="H15" s="25">
        <v>5</v>
      </c>
      <c r="I15" s="49">
        <f t="shared" si="0"/>
        <v>1.6590909090909092</v>
      </c>
    </row>
    <row r="16" spans="1:12" ht="19.8" customHeight="1" thickBot="1" x14ac:dyDescent="0.4">
      <c r="B16" s="43">
        <v>113</v>
      </c>
      <c r="C16" s="19" t="s">
        <v>24</v>
      </c>
      <c r="D16" s="19" t="s">
        <v>12</v>
      </c>
      <c r="E16" s="19">
        <v>33</v>
      </c>
      <c r="F16" s="19">
        <v>45</v>
      </c>
      <c r="G16" s="19">
        <v>75</v>
      </c>
      <c r="H16" s="19">
        <v>3</v>
      </c>
      <c r="I16" s="48">
        <f t="shared" si="0"/>
        <v>1.3636363636363635</v>
      </c>
    </row>
    <row r="17" spans="2:9" ht="19.8" customHeight="1" thickBot="1" x14ac:dyDescent="0.4">
      <c r="B17" s="44">
        <v>114</v>
      </c>
      <c r="C17" s="25" t="s">
        <v>25</v>
      </c>
      <c r="D17" s="25" t="s">
        <v>8</v>
      </c>
      <c r="E17" s="25">
        <v>41</v>
      </c>
      <c r="F17" s="25">
        <v>66</v>
      </c>
      <c r="G17" s="25">
        <v>89</v>
      </c>
      <c r="H17" s="25">
        <v>4</v>
      </c>
      <c r="I17" s="49">
        <f t="shared" si="0"/>
        <v>1.6097560975609757</v>
      </c>
    </row>
    <row r="18" spans="2:9" ht="19.8" customHeight="1" thickBot="1" x14ac:dyDescent="0.4">
      <c r="B18" s="43">
        <v>115</v>
      </c>
      <c r="C18" s="19" t="s">
        <v>26</v>
      </c>
      <c r="D18" s="19" t="s">
        <v>14</v>
      </c>
      <c r="E18" s="19">
        <v>48</v>
      </c>
      <c r="F18" s="19">
        <v>78</v>
      </c>
      <c r="G18" s="19">
        <v>98</v>
      </c>
      <c r="H18" s="19">
        <v>5</v>
      </c>
      <c r="I18" s="48">
        <f t="shared" si="0"/>
        <v>1.625</v>
      </c>
    </row>
    <row r="19" spans="2:9" ht="19.8" customHeight="1" thickBot="1" x14ac:dyDescent="0.4">
      <c r="B19" s="44">
        <v>116</v>
      </c>
      <c r="C19" s="25" t="s">
        <v>27</v>
      </c>
      <c r="D19" s="25" t="s">
        <v>16</v>
      </c>
      <c r="E19" s="25">
        <v>26</v>
      </c>
      <c r="F19" s="25">
        <v>32</v>
      </c>
      <c r="G19" s="25">
        <v>62</v>
      </c>
      <c r="H19" s="25">
        <v>2</v>
      </c>
      <c r="I19" s="49">
        <f t="shared" si="0"/>
        <v>1.2307692307692308</v>
      </c>
    </row>
    <row r="20" spans="2:9" ht="19.8" customHeight="1" thickBot="1" x14ac:dyDescent="0.4">
      <c r="B20" s="43">
        <v>117</v>
      </c>
      <c r="C20" s="19" t="s">
        <v>28</v>
      </c>
      <c r="D20" s="19" t="s">
        <v>12</v>
      </c>
      <c r="E20" s="19">
        <v>31</v>
      </c>
      <c r="F20" s="19">
        <v>42</v>
      </c>
      <c r="G20" s="19">
        <v>72</v>
      </c>
      <c r="H20" s="19">
        <v>3</v>
      </c>
      <c r="I20" s="48">
        <f t="shared" si="0"/>
        <v>1.3548387096774193</v>
      </c>
    </row>
    <row r="21" spans="2:9" ht="19.8" customHeight="1" thickBot="1" x14ac:dyDescent="0.4">
      <c r="B21" s="44">
        <v>118</v>
      </c>
      <c r="C21" s="25" t="s">
        <v>29</v>
      </c>
      <c r="D21" s="25" t="s">
        <v>10</v>
      </c>
      <c r="E21" s="25">
        <v>43</v>
      </c>
      <c r="F21" s="25">
        <v>75</v>
      </c>
      <c r="G21" s="25">
        <v>93</v>
      </c>
      <c r="H21" s="25">
        <v>5</v>
      </c>
      <c r="I21" s="49">
        <f t="shared" si="0"/>
        <v>1.7441860465116279</v>
      </c>
    </row>
    <row r="22" spans="2:9" ht="19.8" customHeight="1" thickBot="1" x14ac:dyDescent="0.4">
      <c r="B22" s="43">
        <v>119</v>
      </c>
      <c r="C22" s="19" t="s">
        <v>30</v>
      </c>
      <c r="D22" s="19" t="s">
        <v>14</v>
      </c>
      <c r="E22" s="19">
        <v>39</v>
      </c>
      <c r="F22" s="19">
        <v>60</v>
      </c>
      <c r="G22" s="19">
        <v>87</v>
      </c>
      <c r="H22" s="19">
        <v>4</v>
      </c>
      <c r="I22" s="48">
        <f t="shared" si="0"/>
        <v>1.5384615384615385</v>
      </c>
    </row>
    <row r="23" spans="2:9" ht="19.8" customHeight="1" thickBot="1" x14ac:dyDescent="0.4">
      <c r="B23" s="44">
        <v>120</v>
      </c>
      <c r="C23" s="25" t="s">
        <v>31</v>
      </c>
      <c r="D23" s="25" t="s">
        <v>8</v>
      </c>
      <c r="E23" s="25">
        <v>36</v>
      </c>
      <c r="F23" s="25">
        <v>52</v>
      </c>
      <c r="G23" s="25">
        <v>78</v>
      </c>
      <c r="H23" s="25">
        <v>4</v>
      </c>
      <c r="I23" s="49">
        <f t="shared" si="0"/>
        <v>1.4444444444444444</v>
      </c>
    </row>
    <row r="24" spans="2:9" ht="19.8" customHeight="1" thickBot="1" x14ac:dyDescent="0.4">
      <c r="B24" s="43">
        <v>121</v>
      </c>
      <c r="C24" s="19" t="s">
        <v>32</v>
      </c>
      <c r="D24" s="19" t="s">
        <v>16</v>
      </c>
      <c r="E24" s="19">
        <v>27</v>
      </c>
      <c r="F24" s="19">
        <v>34</v>
      </c>
      <c r="G24" s="19">
        <v>64</v>
      </c>
      <c r="H24" s="19">
        <v>2</v>
      </c>
      <c r="I24" s="48">
        <f t="shared" si="0"/>
        <v>1.2592592592592593</v>
      </c>
    </row>
    <row r="25" spans="2:9" ht="19.8" customHeight="1" thickBot="1" x14ac:dyDescent="0.4">
      <c r="B25" s="44">
        <v>122</v>
      </c>
      <c r="C25" s="25" t="s">
        <v>33</v>
      </c>
      <c r="D25" s="25" t="s">
        <v>12</v>
      </c>
      <c r="E25" s="25">
        <v>32</v>
      </c>
      <c r="F25" s="25">
        <v>44</v>
      </c>
      <c r="G25" s="25">
        <v>74</v>
      </c>
      <c r="H25" s="25">
        <v>3</v>
      </c>
      <c r="I25" s="49">
        <f t="shared" si="0"/>
        <v>1.375</v>
      </c>
    </row>
    <row r="26" spans="2:9" ht="19.8" customHeight="1" thickBot="1" x14ac:dyDescent="0.4">
      <c r="B26" s="43">
        <v>123</v>
      </c>
      <c r="C26" s="19" t="s">
        <v>34</v>
      </c>
      <c r="D26" s="19" t="s">
        <v>10</v>
      </c>
      <c r="E26" s="19">
        <v>46</v>
      </c>
      <c r="F26" s="19">
        <v>77</v>
      </c>
      <c r="G26" s="19">
        <v>96</v>
      </c>
      <c r="H26" s="19">
        <v>5</v>
      </c>
      <c r="I26" s="48">
        <f t="shared" si="0"/>
        <v>1.673913043478261</v>
      </c>
    </row>
    <row r="27" spans="2:9" ht="19.8" customHeight="1" thickBot="1" x14ac:dyDescent="0.4">
      <c r="B27" s="44">
        <v>124</v>
      </c>
      <c r="C27" s="25" t="s">
        <v>35</v>
      </c>
      <c r="D27" s="25" t="s">
        <v>8</v>
      </c>
      <c r="E27" s="25">
        <v>34</v>
      </c>
      <c r="F27" s="25">
        <v>48</v>
      </c>
      <c r="G27" s="25">
        <v>76</v>
      </c>
      <c r="H27" s="25">
        <v>3</v>
      </c>
      <c r="I27" s="49">
        <f t="shared" si="0"/>
        <v>1.411764705882353</v>
      </c>
    </row>
    <row r="28" spans="2:9" ht="19.8" customHeight="1" x14ac:dyDescent="0.35">
      <c r="B28" s="45">
        <v>125</v>
      </c>
      <c r="C28" s="46" t="s">
        <v>36</v>
      </c>
      <c r="D28" s="46" t="s">
        <v>14</v>
      </c>
      <c r="E28" s="46">
        <v>47</v>
      </c>
      <c r="F28" s="46">
        <v>79</v>
      </c>
      <c r="G28" s="46">
        <v>99</v>
      </c>
      <c r="H28" s="46">
        <v>5</v>
      </c>
      <c r="I28" s="50">
        <f t="shared" si="0"/>
        <v>1.6808510638297873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227D-D79C-4486-8723-91BA7CF4605F}">
  <dimension ref="A1:G26"/>
  <sheetViews>
    <sheetView topLeftCell="A18" zoomScaleNormal="100" workbookViewId="0">
      <selection activeCell="B24" sqref="B24"/>
    </sheetView>
  </sheetViews>
  <sheetFormatPr defaultRowHeight="14.4" x14ac:dyDescent="0.3"/>
  <cols>
    <col min="1" max="1" width="14" customWidth="1"/>
    <col min="2" max="2" width="18.21875" style="5" customWidth="1"/>
    <col min="3" max="6" width="19.21875" style="5" customWidth="1"/>
    <col min="7" max="7" width="20.109375" style="5" customWidth="1"/>
  </cols>
  <sheetData>
    <row r="1" spans="1:7" ht="15" thickBot="1" x14ac:dyDescent="0.35">
      <c r="A1" s="32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5" t="s">
        <v>6</v>
      </c>
    </row>
    <row r="2" spans="1:7" ht="17.399999999999999" customHeight="1" thickBot="1" x14ac:dyDescent="0.35">
      <c r="A2" s="33">
        <v>101</v>
      </c>
      <c r="B2" s="3" t="s">
        <v>7</v>
      </c>
      <c r="C2" s="3" t="s">
        <v>8</v>
      </c>
      <c r="D2" s="3">
        <v>35</v>
      </c>
      <c r="E2" s="3">
        <v>50</v>
      </c>
      <c r="F2" s="3">
        <v>80</v>
      </c>
      <c r="G2" s="3">
        <v>4</v>
      </c>
    </row>
    <row r="3" spans="1:7" ht="17.399999999999999" customHeight="1" thickBot="1" x14ac:dyDescent="0.35">
      <c r="A3" s="34">
        <v>102</v>
      </c>
      <c r="B3" s="4" t="s">
        <v>9</v>
      </c>
      <c r="C3" s="4" t="s">
        <v>10</v>
      </c>
      <c r="D3" s="4">
        <v>40</v>
      </c>
      <c r="E3" s="4">
        <v>65</v>
      </c>
      <c r="F3" s="4">
        <v>90</v>
      </c>
      <c r="G3" s="4">
        <v>5</v>
      </c>
    </row>
    <row r="4" spans="1:7" ht="17.399999999999999" customHeight="1" thickBot="1" x14ac:dyDescent="0.35">
      <c r="A4" s="33">
        <v>103</v>
      </c>
      <c r="B4" s="3" t="s">
        <v>11</v>
      </c>
      <c r="C4" s="3" t="s">
        <v>12</v>
      </c>
      <c r="D4" s="3">
        <v>30</v>
      </c>
      <c r="E4" s="3">
        <v>40</v>
      </c>
      <c r="F4" s="3">
        <v>70</v>
      </c>
      <c r="G4" s="3">
        <v>3</v>
      </c>
    </row>
    <row r="5" spans="1:7" ht="17.399999999999999" customHeight="1" thickBot="1" x14ac:dyDescent="0.35">
      <c r="A5" s="34">
        <v>104</v>
      </c>
      <c r="B5" s="4" t="s">
        <v>13</v>
      </c>
      <c r="C5" s="4" t="s">
        <v>14</v>
      </c>
      <c r="D5" s="4">
        <v>45</v>
      </c>
      <c r="E5" s="4">
        <v>75</v>
      </c>
      <c r="F5" s="4">
        <v>95</v>
      </c>
      <c r="G5" s="4">
        <v>5</v>
      </c>
    </row>
    <row r="6" spans="1:7" ht="17.399999999999999" customHeight="1" thickBot="1" x14ac:dyDescent="0.35">
      <c r="A6" s="33">
        <v>105</v>
      </c>
      <c r="B6" s="3" t="s">
        <v>15</v>
      </c>
      <c r="C6" s="3" t="s">
        <v>16</v>
      </c>
      <c r="D6" s="3">
        <v>25</v>
      </c>
      <c r="E6" s="3">
        <v>30</v>
      </c>
      <c r="F6" s="3">
        <v>60</v>
      </c>
      <c r="G6" s="3">
        <v>2</v>
      </c>
    </row>
    <row r="7" spans="1:7" ht="17.399999999999999" customHeight="1" thickBot="1" x14ac:dyDescent="0.35">
      <c r="A7" s="34">
        <v>106</v>
      </c>
      <c r="B7" s="4" t="s">
        <v>17</v>
      </c>
      <c r="C7" s="4" t="s">
        <v>8</v>
      </c>
      <c r="D7" s="4">
        <v>38</v>
      </c>
      <c r="E7" s="4">
        <v>58</v>
      </c>
      <c r="F7" s="4">
        <v>85</v>
      </c>
      <c r="G7" s="4">
        <v>4</v>
      </c>
    </row>
    <row r="8" spans="1:7" ht="17.399999999999999" customHeight="1" thickBot="1" x14ac:dyDescent="0.35">
      <c r="A8" s="33">
        <v>107</v>
      </c>
      <c r="B8" s="3" t="s">
        <v>18</v>
      </c>
      <c r="C8" s="3" t="s">
        <v>14</v>
      </c>
      <c r="D8" s="3">
        <v>50</v>
      </c>
      <c r="E8" s="3">
        <v>80</v>
      </c>
      <c r="F8" s="3">
        <v>100</v>
      </c>
      <c r="G8" s="3">
        <v>5</v>
      </c>
    </row>
    <row r="9" spans="1:7" ht="17.399999999999999" customHeight="1" thickBot="1" x14ac:dyDescent="0.35">
      <c r="A9" s="34">
        <v>108</v>
      </c>
      <c r="B9" s="4" t="s">
        <v>19</v>
      </c>
      <c r="C9" s="4" t="s">
        <v>12</v>
      </c>
      <c r="D9" s="4">
        <v>28</v>
      </c>
      <c r="E9" s="4">
        <v>35</v>
      </c>
      <c r="F9" s="4">
        <v>65</v>
      </c>
      <c r="G9" s="4">
        <v>3</v>
      </c>
    </row>
    <row r="10" spans="1:7" ht="17.399999999999999" customHeight="1" thickBot="1" x14ac:dyDescent="0.35">
      <c r="A10" s="33">
        <v>109</v>
      </c>
      <c r="B10" s="3" t="s">
        <v>20</v>
      </c>
      <c r="C10" s="3" t="s">
        <v>10</v>
      </c>
      <c r="D10" s="3">
        <v>42</v>
      </c>
      <c r="E10" s="3">
        <v>70</v>
      </c>
      <c r="F10" s="3">
        <v>92</v>
      </c>
      <c r="G10" s="3">
        <v>5</v>
      </c>
    </row>
    <row r="11" spans="1:7" ht="17.399999999999999" customHeight="1" thickBot="1" x14ac:dyDescent="0.35">
      <c r="A11" s="34">
        <v>110</v>
      </c>
      <c r="B11" s="4" t="s">
        <v>21</v>
      </c>
      <c r="C11" s="4" t="s">
        <v>8</v>
      </c>
      <c r="D11" s="4">
        <v>37</v>
      </c>
      <c r="E11" s="4">
        <v>55</v>
      </c>
      <c r="F11" s="4">
        <v>83</v>
      </c>
      <c r="G11" s="4">
        <v>4</v>
      </c>
    </row>
    <row r="12" spans="1:7" ht="17.399999999999999" customHeight="1" thickBot="1" x14ac:dyDescent="0.35">
      <c r="A12" s="33">
        <v>111</v>
      </c>
      <c r="B12" s="3" t="s">
        <v>22</v>
      </c>
      <c r="C12" s="3" t="s">
        <v>16</v>
      </c>
      <c r="D12" s="3">
        <v>29</v>
      </c>
      <c r="E12" s="3">
        <v>38</v>
      </c>
      <c r="F12" s="3">
        <v>68</v>
      </c>
      <c r="G12" s="3">
        <v>3</v>
      </c>
    </row>
    <row r="13" spans="1:7" ht="17.399999999999999" customHeight="1" thickBot="1" x14ac:dyDescent="0.35">
      <c r="A13" s="34">
        <v>112</v>
      </c>
      <c r="B13" s="4" t="s">
        <v>23</v>
      </c>
      <c r="C13" s="4" t="s">
        <v>10</v>
      </c>
      <c r="D13" s="4">
        <v>44</v>
      </c>
      <c r="E13" s="4">
        <v>73</v>
      </c>
      <c r="F13" s="4">
        <v>94</v>
      </c>
      <c r="G13" s="4">
        <v>5</v>
      </c>
    </row>
    <row r="14" spans="1:7" ht="17.399999999999999" customHeight="1" thickBot="1" x14ac:dyDescent="0.35">
      <c r="A14" s="33">
        <v>113</v>
      </c>
      <c r="B14" s="3" t="s">
        <v>24</v>
      </c>
      <c r="C14" s="3" t="s">
        <v>12</v>
      </c>
      <c r="D14" s="3">
        <v>33</v>
      </c>
      <c r="E14" s="3">
        <v>45</v>
      </c>
      <c r="F14" s="3">
        <v>75</v>
      </c>
      <c r="G14" s="3">
        <v>3</v>
      </c>
    </row>
    <row r="15" spans="1:7" ht="17.399999999999999" customHeight="1" thickBot="1" x14ac:dyDescent="0.35">
      <c r="A15" s="34">
        <v>114</v>
      </c>
      <c r="B15" s="4" t="s">
        <v>25</v>
      </c>
      <c r="C15" s="4" t="s">
        <v>8</v>
      </c>
      <c r="D15" s="4">
        <v>41</v>
      </c>
      <c r="E15" s="4">
        <v>66</v>
      </c>
      <c r="F15" s="4">
        <v>89</v>
      </c>
      <c r="G15" s="4">
        <v>4</v>
      </c>
    </row>
    <row r="16" spans="1:7" ht="17.399999999999999" customHeight="1" thickBot="1" x14ac:dyDescent="0.35">
      <c r="A16" s="33">
        <v>115</v>
      </c>
      <c r="B16" s="3" t="s">
        <v>26</v>
      </c>
      <c r="C16" s="3" t="s">
        <v>14</v>
      </c>
      <c r="D16" s="3">
        <v>48</v>
      </c>
      <c r="E16" s="3">
        <v>78</v>
      </c>
      <c r="F16" s="3">
        <v>98</v>
      </c>
      <c r="G16" s="3">
        <v>5</v>
      </c>
    </row>
    <row r="17" spans="1:7" ht="17.399999999999999" customHeight="1" thickBot="1" x14ac:dyDescent="0.35">
      <c r="A17" s="34">
        <v>116</v>
      </c>
      <c r="B17" s="4" t="s">
        <v>27</v>
      </c>
      <c r="C17" s="4" t="s">
        <v>16</v>
      </c>
      <c r="D17" s="4">
        <v>26</v>
      </c>
      <c r="E17" s="4">
        <v>32</v>
      </c>
      <c r="F17" s="4">
        <v>62</v>
      </c>
      <c r="G17" s="4">
        <v>2</v>
      </c>
    </row>
    <row r="18" spans="1:7" ht="17.399999999999999" customHeight="1" thickBot="1" x14ac:dyDescent="0.35">
      <c r="A18" s="33">
        <v>117</v>
      </c>
      <c r="B18" s="3" t="s">
        <v>28</v>
      </c>
      <c r="C18" s="3" t="s">
        <v>12</v>
      </c>
      <c r="D18" s="3">
        <v>31</v>
      </c>
      <c r="E18" s="3">
        <v>42</v>
      </c>
      <c r="F18" s="3">
        <v>72</v>
      </c>
      <c r="G18" s="3">
        <v>3</v>
      </c>
    </row>
    <row r="19" spans="1:7" ht="17.399999999999999" customHeight="1" thickBot="1" x14ac:dyDescent="0.35">
      <c r="A19" s="34">
        <v>118</v>
      </c>
      <c r="B19" s="4" t="s">
        <v>29</v>
      </c>
      <c r="C19" s="4" t="s">
        <v>10</v>
      </c>
      <c r="D19" s="4">
        <v>43</v>
      </c>
      <c r="E19" s="4">
        <v>75</v>
      </c>
      <c r="F19" s="4">
        <v>93</v>
      </c>
      <c r="G19" s="4">
        <v>5</v>
      </c>
    </row>
    <row r="20" spans="1:7" ht="17.399999999999999" customHeight="1" thickBot="1" x14ac:dyDescent="0.35">
      <c r="A20" s="33">
        <v>119</v>
      </c>
      <c r="B20" s="3" t="s">
        <v>30</v>
      </c>
      <c r="C20" s="3" t="s">
        <v>14</v>
      </c>
      <c r="D20" s="3">
        <v>39</v>
      </c>
      <c r="E20" s="3">
        <v>60</v>
      </c>
      <c r="F20" s="3">
        <v>87</v>
      </c>
      <c r="G20" s="3">
        <v>4</v>
      </c>
    </row>
    <row r="21" spans="1:7" ht="17.399999999999999" customHeight="1" thickBot="1" x14ac:dyDescent="0.35">
      <c r="A21" s="34">
        <v>120</v>
      </c>
      <c r="B21" s="4" t="s">
        <v>31</v>
      </c>
      <c r="C21" s="4" t="s">
        <v>8</v>
      </c>
      <c r="D21" s="4">
        <v>36</v>
      </c>
      <c r="E21" s="4">
        <v>52</v>
      </c>
      <c r="F21" s="4">
        <v>78</v>
      </c>
      <c r="G21" s="4">
        <v>4</v>
      </c>
    </row>
    <row r="22" spans="1:7" ht="17.399999999999999" customHeight="1" thickBot="1" x14ac:dyDescent="0.35">
      <c r="A22" s="33">
        <v>121</v>
      </c>
      <c r="B22" s="3" t="s">
        <v>32</v>
      </c>
      <c r="C22" s="3" t="s">
        <v>16</v>
      </c>
      <c r="D22" s="3">
        <v>27</v>
      </c>
      <c r="E22" s="3">
        <v>34</v>
      </c>
      <c r="F22" s="3">
        <v>64</v>
      </c>
      <c r="G22" s="3">
        <v>2</v>
      </c>
    </row>
    <row r="23" spans="1:7" ht="17.399999999999999" customHeight="1" thickBot="1" x14ac:dyDescent="0.35">
      <c r="A23" s="34">
        <v>122</v>
      </c>
      <c r="B23" s="4" t="s">
        <v>33</v>
      </c>
      <c r="C23" s="4" t="s">
        <v>12</v>
      </c>
      <c r="D23" s="4">
        <v>32</v>
      </c>
      <c r="E23" s="4">
        <v>44</v>
      </c>
      <c r="F23" s="4">
        <v>74</v>
      </c>
      <c r="G23" s="4">
        <v>3</v>
      </c>
    </row>
    <row r="24" spans="1:7" ht="17.399999999999999" customHeight="1" thickBot="1" x14ac:dyDescent="0.35">
      <c r="A24" s="33">
        <v>123</v>
      </c>
      <c r="B24" s="3" t="s">
        <v>34</v>
      </c>
      <c r="C24" s="3" t="s">
        <v>10</v>
      </c>
      <c r="D24" s="3">
        <v>46</v>
      </c>
      <c r="E24" s="3">
        <v>77</v>
      </c>
      <c r="F24" s="3">
        <v>96</v>
      </c>
      <c r="G24" s="3">
        <v>5</v>
      </c>
    </row>
    <row r="25" spans="1:7" ht="17.399999999999999" customHeight="1" thickBot="1" x14ac:dyDescent="0.35">
      <c r="A25" s="34">
        <v>124</v>
      </c>
      <c r="B25" s="4" t="s">
        <v>35</v>
      </c>
      <c r="C25" s="4" t="s">
        <v>8</v>
      </c>
      <c r="D25" s="4">
        <v>34</v>
      </c>
      <c r="E25" s="4">
        <v>48</v>
      </c>
      <c r="F25" s="4">
        <v>76</v>
      </c>
      <c r="G25" s="4">
        <v>3</v>
      </c>
    </row>
    <row r="26" spans="1:7" ht="17.399999999999999" customHeight="1" x14ac:dyDescent="0.3">
      <c r="A26" s="36">
        <v>125</v>
      </c>
      <c r="B26" s="37" t="s">
        <v>36</v>
      </c>
      <c r="C26" s="37" t="s">
        <v>14</v>
      </c>
      <c r="D26" s="37">
        <v>47</v>
      </c>
      <c r="E26" s="37">
        <v>79</v>
      </c>
      <c r="F26" s="37">
        <v>99</v>
      </c>
      <c r="G26" s="37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 1</vt:lpstr>
      <vt:lpstr>Problem 2</vt:lpstr>
      <vt:lpstr>Problem 3</vt:lpstr>
      <vt:lpstr>Problem 4 - a.</vt:lpstr>
      <vt:lpstr>Problem 4 - b.</vt:lpstr>
      <vt:lpstr>Problem 5.</vt:lpstr>
      <vt:lpstr>Problem 6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z</dc:creator>
  <cp:lastModifiedBy>Mahi z</cp:lastModifiedBy>
  <cp:lastPrinted>2025-12-10T15:05:26Z</cp:lastPrinted>
  <dcterms:created xsi:type="dcterms:W3CDTF">2025-12-10T11:34:12Z</dcterms:created>
  <dcterms:modified xsi:type="dcterms:W3CDTF">2025-12-10T15:05:30Z</dcterms:modified>
</cp:coreProperties>
</file>